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strucciones" sheetId="1" state="visible" r:id="rId3"/>
    <sheet name="Visión" sheetId="2" state="visible" r:id="rId4"/>
    <sheet name="Épicas" sheetId="3" state="visible" r:id="rId5"/>
    <sheet name="Historias de usuario" sheetId="4" state="visible" r:id="rId6"/>
    <sheet name="Catálogo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<sst xmlns="http://schemas.openxmlformats.org/spreadsheetml/2006/main" count="635" uniqueCount="448">
  <si>
    <t xml:space="preserve">Plantillas ágiles: visión, épicas e historias de usuario</t>
  </si>
  <si>
    <t xml:space="preserve">Use este archivo para documentar la visión del producto/proyecto, descomponerla en épicas y redactar historias de usuario verificables. Las celdas en azul claro son espacios de trabajo.</t>
  </si>
  <si>
    <t xml:space="preserve">Hoja</t>
  </si>
  <si>
    <t xml:space="preserve">Propósito</t>
  </si>
  <si>
    <t xml:space="preserve">Qué debe completar</t>
  </si>
  <si>
    <t xml:space="preserve">Recomendación de calidad</t>
  </si>
  <si>
    <t xml:space="preserve">Visión</t>
  </si>
  <si>
    <t xml:space="preserve">Declarar la visión del producto/proyecto con la estructura del archivo original.</t>
  </si>
  <si>
    <t xml:space="preserve">Proyecto, equipo responsable y los componentes: Para, Quienes, El, Es, Qué, A diferencia de, Nuestro producto.</t>
  </si>
  <si>
    <t xml:space="preserve">La declaración debe mostrar claramente usuario objetivo, necesidad, tipo de solución, valor y diferenciador.</t>
  </si>
  <si>
    <t xml:space="preserve">Épicas</t>
  </si>
  <si>
    <t xml:space="preserve">Registrar capacidades o grandes bloques funcionales que agrupan varias historias de usuario.</t>
  </si>
  <si>
    <t xml:space="preserve">Una fila por épica, manteniendo los campos: identificador, nombre, descripción, problema, KPI, actores, supuestos, criterios, historias relacionadas y riesgos.</t>
  </si>
  <si>
    <t xml:space="preserve">Cada épica debe representar valor de negocio y permitir derivar al menos dos historias de usuario.</t>
  </si>
  <si>
    <t xml:space="preserve">Historias de usuario</t>
  </si>
  <si>
    <t xml:space="preserve">Describir funcionalidades pequeñas, negociables y verificables desde la perspectiva del usuario.</t>
  </si>
  <si>
    <t xml:space="preserve">Una fila por historia con identificador, título, descripción, contexto, prioridad, dependencias, estimación, criterios de aceptación, UX y riesgos.</t>
  </si>
  <si>
    <t xml:space="preserve">Use el formato: Como [rol], quiero [funcionalidad], para [beneficio]. Los criterios deben poder probarse.</t>
  </si>
  <si>
    <t xml:space="preserve">Criterios transversales de redacción</t>
  </si>
  <si>
    <t xml:space="preserve">Claridad</t>
  </si>
  <si>
    <t xml:space="preserve">Evite términos vagos como rápido, fácil, robusto o intuitivo si no están medidos.</t>
  </si>
  <si>
    <t xml:space="preserve">Trazabilidad</t>
  </si>
  <si>
    <t xml:space="preserve">Relacione las historias con la épica correspondiente y registre las dependencias relevantes.</t>
  </si>
  <si>
    <t xml:space="preserve">Valor</t>
  </si>
  <si>
    <t xml:space="preserve">Toda épica e historia debe expresar valor para el usuario, negocio o proceso.</t>
  </si>
  <si>
    <t xml:space="preserve">Verificabilidad</t>
  </si>
  <si>
    <t xml:space="preserve">Los criterios de aceptación deben permitir validar objetivamente si la historia fue cumplida.</t>
  </si>
  <si>
    <t xml:space="preserve">Alcance</t>
  </si>
  <si>
    <t xml:space="preserve">Una historia de usuario debe describir una funcionalidad de software, no una actividad administrativa o de negocio aislada.</t>
  </si>
  <si>
    <t xml:space="preserve">Declaración de visión del producto/proyecto</t>
  </si>
  <si>
    <t xml:space="preserve">Complete los campos respetando la estructura original. La vista previa ensamblará una declaración de visión coherente a partir de sus respuestas.</t>
  </si>
  <si>
    <t xml:space="preserve">Proyecto</t>
  </si>
  <si>
    <t xml:space="preserve">Equipo responsable</t>
  </si>
  <si>
    <t xml:space="preserve">Estructura de la declaración de visión</t>
  </si>
  <si>
    <t xml:space="preserve">Campo</t>
  </si>
  <si>
    <t xml:space="preserve">Orientación</t>
  </si>
  <si>
    <t xml:space="preserve">Ejemplo</t>
  </si>
  <si>
    <t xml:space="preserve">Respuesta</t>
  </si>
  <si>
    <t xml:space="preserve">Para</t>
  </si>
  <si>
    <t xml:space="preserve">Segmento principal de usuarios, clientes o beneficiarios a quienes se dirige la solución.</t>
  </si>
  <si>
    <t xml:space="preserve">Para emprendedores de venta directa</t>
  </si>
  <si>
    <t xml:space="preserve">Analistas de triaje, supervisores operativos, coordinadores de compliance y directivos de operaciones de la aseguradora de salud.</t>
  </si>
  <si>
    <t xml:space="preserve">Quienes</t>
  </si>
  <si>
    <t xml:space="preserve">Necesidad, problema u oportunidad concreta que enfrenta ese segmento.</t>
  </si>
  <si>
    <t xml:space="preserve">quienes necesitan organizar pedidos, clientes y evidencias de venta</t>
  </si>
  <si>
    <t xml:space="preserve">Necesitan gestionar de forma eficiente y trazable un volumen elevado y creciente de Apelaciones, Quejas y Reclamaciones (A&amp;G), actualmente afectado por un proceso manual, lento e inconsistente que incumple los SLAs regulatorios y genera costos operativos crecientes.</t>
  </si>
  <si>
    <t xml:space="preserve">El</t>
  </si>
  <si>
    <t xml:space="preserve">Nombre del producto, sistema o iniciativa.</t>
  </si>
  <si>
    <t xml:space="preserve">el sistema de gestión comercial móvil</t>
  </si>
  <si>
    <t xml:space="preserve">STAQ - Sistema de Triaje Inteligente de A&amp;G.</t>
  </si>
  <si>
    <t xml:space="preserve">Es</t>
  </si>
  <si>
    <t xml:space="preserve">Categoría de solución o tipo de producto.</t>
  </si>
  <si>
    <t xml:space="preserve">es una aplicación web y móvil</t>
  </si>
  <si>
    <t xml:space="preserve">Una plataforma web interna de gestión de casos, con componentes de automatización, integración de datos y soporte a la decisión.</t>
  </si>
  <si>
    <t xml:space="preserve">Qué</t>
  </si>
  <si>
    <t xml:space="preserve">Beneficio central o capacidad diferencial que entrega.</t>
  </si>
  <si>
    <t xml:space="preserve">que centraliza clientes, pedidos, pagos y seguimiento</t>
  </si>
  <si>
    <t xml:space="preserve">Integra automáticamente información de múltiples canales y sistemas, aplica clasificación asistida por reglas y procesamiento de lenguaje natural, detecta duplicidades y provee visibilidad en tiempo real del estado de los casos.</t>
  </si>
  <si>
    <t xml:space="preserve">A diferencia de</t>
  </si>
  <si>
    <t xml:space="preserve">Alternativa actual, competencia o forma tradicional de resolver el problema.</t>
  </si>
  <si>
    <t xml:space="preserve">a diferencia de hojas de cálculo y mensajes dispersos</t>
  </si>
  <si>
    <t xml:space="preserve">El proceso actual es mayoritariamente manual con información dispersa entre distintos sistemas y la existencia de una clasificación basada en el criterio individual de cada analista.</t>
  </si>
  <si>
    <t xml:space="preserve">Nuestro producto</t>
  </si>
  <si>
    <t xml:space="preserve">Diferenciador principal o promesa de valor específica.</t>
  </si>
  <si>
    <t xml:space="preserve">nuestro producto automatiza el seguimiento comercial y genera reportes simples</t>
  </si>
  <si>
    <t xml:space="preserve">Reduce a la mitad el tiempo de triaje inicial, garantiza una clasificación consistente (tasa de acierto igual o superior al 90%) y proporciona trazabilidad completa para el cumplimiento regulatorio.</t>
  </si>
  <si>
    <t xml:space="preserve">Vista previa de la declaración</t>
  </si>
  <si>
    <t xml:space="preserve">Orientaciones de revisión</t>
  </si>
  <si>
    <t xml:space="preserve">Preguntas de control</t>
  </si>
  <si>
    <t xml:space="preserve">Verificación</t>
  </si>
  <si>
    <t xml:space="preserve">¿Se reconoce claramente quién usará o se beneficiará de la solución?</t>
  </si>
  <si>
    <t xml:space="preserve">El campo Para debe identificar un segmento concreto.</t>
  </si>
  <si>
    <t xml:space="preserve">¿El problema o necesidad está expresado desde la perspectiva del usuario?</t>
  </si>
  <si>
    <t xml:space="preserve">El campo Quienes debe explicar la situación que justifica el producto.</t>
  </si>
  <si>
    <t xml:space="preserve">¿Se diferencia la propuesta frente a alternativas actuales?</t>
  </si>
  <si>
    <t xml:space="preserve">Los campos A diferencia de y Nuestro producto deben mostrar valor distintivo.</t>
  </si>
  <si>
    <t xml:space="preserve">Plantilla de épicas</t>
  </si>
  <si>
    <t xml:space="preserve">Registre una épica por fila. La épica debe representar una capacidad de alto nivel que agrupe historias de usuario y entregue valor de negocio medible.</t>
  </si>
  <si>
    <t xml:space="preserve">Orientación por campo</t>
  </si>
  <si>
    <t xml:space="preserve">Criterio de calidad / formato sugerido</t>
  </si>
  <si>
    <t xml:space="preserve">Identificador</t>
  </si>
  <si>
    <t xml:space="preserve">Código único y consecutivo.</t>
  </si>
  <si>
    <t xml:space="preserve">EP-01, EP-02, EP-03.</t>
  </si>
  <si>
    <t xml:space="preserve">Nombre de la épica</t>
  </si>
  <si>
    <t xml:space="preserve">Nombre breve de la capacidad o resultado esperado.</t>
  </si>
  <si>
    <t xml:space="preserve">Debe ser comprensible para negocio y tecnología.</t>
  </si>
  <si>
    <t xml:space="preserve">Descripción de alto nivel</t>
  </si>
  <si>
    <t xml:space="preserve">Resumen del alcance funcional de la épica.</t>
  </si>
  <si>
    <t xml:space="preserve">Explique qué cubre y qué valor entrega.</t>
  </si>
  <si>
    <t xml:space="preserve">Problema de negocio</t>
  </si>
  <si>
    <t xml:space="preserve">Dolor, oportunidad o necesidad que justifica la épica.</t>
  </si>
  <si>
    <t xml:space="preserve">Evite describir solo la solución; explique el problema.</t>
  </si>
  <si>
    <t xml:space="preserve">Objetivo de negocio (KPI)</t>
  </si>
  <si>
    <t xml:space="preserve">Indicador o resultado medible asociado.</t>
  </si>
  <si>
    <t xml:space="preserve">Ej.: reducir 30% el tiempo de registro; aumentar 15% la conversión.</t>
  </si>
  <si>
    <t xml:space="preserve">Actores implicados</t>
  </si>
  <si>
    <t xml:space="preserve">Usuarios, áreas o sistemas relacionados.</t>
  </si>
  <si>
    <t xml:space="preserve">Incluya roles, no nombres personales.</t>
  </si>
  <si>
    <t xml:space="preserve">Supuestos y restricciones</t>
  </si>
  <si>
    <t xml:space="preserve">Condiciones que limitan o condicionan la épica.</t>
  </si>
  <si>
    <t xml:space="preserve">Ej.: disponibilidad de datos, normativa, integración, tiempo.</t>
  </si>
  <si>
    <t xml:space="preserve">Criterios de éxito</t>
  </si>
  <si>
    <t xml:space="preserve">Condiciones verificables para considerar completada la épica.</t>
  </si>
  <si>
    <t xml:space="preserve">Deben poder revisarse con evidencias.</t>
  </si>
  <si>
    <t xml:space="preserve">Historias relacionadas</t>
  </si>
  <si>
    <t xml:space="preserve">Lista de historias de usuario asociadas.</t>
  </si>
  <si>
    <t xml:space="preserve">US-001, US-002, US-003.</t>
  </si>
  <si>
    <t xml:space="preserve">Notas adicionales/riesgos</t>
  </si>
  <si>
    <t xml:space="preserve">Riesgos, dudas o decisiones pendientes.</t>
  </si>
  <si>
    <t xml:space="preserve">Registre lo que pueda afectar alcance, costo, tiempo o calidad.</t>
  </si>
  <si>
    <t xml:space="preserve">Registro de épicas</t>
  </si>
  <si>
    <t xml:space="preserve">Estado</t>
  </si>
  <si>
    <t xml:space="preserve">Completitud</t>
  </si>
  <si>
    <t xml:space="preserve">EP-01</t>
  </si>
  <si>
    <t xml:space="preserve">Registro y consulta de casos A&amp;G</t>
  </si>
  <si>
    <t xml:space="preserve">Permitir que el Analista de Triaje registre, consulte y edite los casos de Apelaciones, Quejas y Reclamaciones (A&amp;G) recibidos por los distintos canales de la aseguradora.</t>
  </si>
  <si>
    <t xml:space="preserve">La recepción de casos por múltiples canales sin estructura uniforme y la consolidación manual de información dispersa generan retrasos y errores en el registro inicial.</t>
  </si>
  <si>
    <t xml:space="preserve">Reducir el tiempo promedio de triaje inicial en al menos un 50% respecto a la línea base (OB-01).</t>
  </si>
  <si>
    <t xml:space="preserve">Analista de Triaje.</t>
  </si>
  <si>
    <t xml:space="preserve">El caso debe registrarse desde al menos un canal soportado (correo, portal web, telefónico). El acceso a datos sensibles de salud está restringido según el perfil del analista.</t>
  </si>
  <si>
    <t xml:space="preserve">El sistema permite registrar, consultar y editar casos en estado editable, consolidando automáticamente la información disponible de sistemas externos.</t>
  </si>
  <si>
    <t xml:space="preserve">US-001, US-002, US-003</t>
  </si>
  <si>
    <t xml:space="preserve">Expedientes incompletos por consolidación parcial de datos pueden retrasar el triaje inicial (RR-06). El riesgo técnico asociado (estructura de los sistemas legados de origen) se gestiona en el plan de riesgos técnicos del proyecto.</t>
  </si>
  <si>
    <t xml:space="preserve">Borrador</t>
  </si>
  <si>
    <t xml:space="preserve">EP-02</t>
  </si>
  <si>
    <t xml:space="preserve">Clasificación asistida y justificación del triaje</t>
  </si>
  <si>
    <t xml:space="preserve">Asignar automáticamente categoría, prioridad y nivel de confiabilidad a los casos mediante un motor de clasificación asistido, permitiendo que el analista valide, corrija y justifique la clasificación.</t>
  </si>
  <si>
    <t xml:space="preserve">La clasificación subjetiva y variable entre analistas genera reprocesos y decisiones contradictorias sobre el mismo incidente.</t>
  </si>
  <si>
    <t xml:space="preserve">Alcanzar una tasa de clasificación correcta igual o superior al 90% en la categorización inicial de casos A&amp;G (OB-02).</t>
  </si>
  <si>
    <t xml:space="preserve">Motor de clasificación (Sistema), Analista de Triaje.</t>
  </si>
  <si>
    <t xml:space="preserve">El umbral de confiabilidad por debajo del cual se exige revisión manual obligatoria se define en configuración (recomendado 0.75 sobre escala 0.0-1.0). El motor de clasificación se apoya en reglas de negocio configurables y en procesamiento de lenguaje natural (NLP) sobre la descripción del caso.</t>
  </si>
  <si>
    <t xml:space="preserve">El sistema sugiere categoría, prioridad y confiabilidad; el analista puede validar o corregir la clasificación con justificación obligatoria.</t>
  </si>
  <si>
    <t xml:space="preserve">US-004, US-005, US-006</t>
  </si>
  <si>
    <t xml:space="preserve">Clasificaciones incorrectas no corregidas a tiempo pueden generar reprocesos en el área resolutora (relacionado con RN-005).</t>
  </si>
  <si>
    <t xml:space="preserve">EP-03</t>
  </si>
  <si>
    <t xml:space="preserve">Detección de duplicados y casos relacionados</t>
  </si>
  <si>
    <t xml:space="preserve">Identificar automáticamente casos duplicados o relacionados mediante cálculo de similitud semántica al momento del registro.</t>
  </si>
  <si>
    <t xml:space="preserve">La detección incompleta de casos duplicados genera atención redundante e inconsistencias en el seguimiento de los casos.</t>
  </si>
  <si>
    <t xml:space="preserve">Detectar automáticamente el 85% o más de los casos duplicados o relacionados al momento del registro (OB-03).</t>
  </si>
  <si>
    <t xml:space="preserve">Motor de detección (Sistema), Analista de Triaje.</t>
  </si>
  <si>
    <t xml:space="preserve">Umbral recomendado: similitud ≥ 90% clasifica como duplicado; entre 60% y 89% como relacionado. Ambos valores deben validarse con Compliance y ajustarse tras el primer mes de operación real.</t>
  </si>
  <si>
    <t xml:space="preserve">El sistema alerta sobre posibles duplicados o relacionados antes de finalizar el registro del caso.</t>
  </si>
  <si>
    <t xml:space="preserve">US-007</t>
  </si>
  <si>
    <t xml:space="preserve">Falsos positivos o negativos en la detección pueden requerir ajuste del umbral tras el primer mes de operación real.</t>
  </si>
  <si>
    <t xml:space="preserve">EP-04</t>
  </si>
  <si>
    <t xml:space="preserve">Derivación y reasignación de casos</t>
  </si>
  <si>
    <t xml:space="preserve">Derivar los casos clasificados al área o especialista responsable y permitir la reasignación cuando cambie el responsable de la gestión.</t>
  </si>
  <si>
    <t xml:space="preserve">La ausencia de reglas claras de derivación genera reprocesos y reasignaciones incorrectas.</t>
  </si>
  <si>
    <t xml:space="preserve">Reducir en un 40% el volumen de reprocesos y reasignaciones de casos derivados de triaje incorrecto (OB-04).</t>
  </si>
  <si>
    <t xml:space="preserve">Analista de Triaje, Supervisor Operativo, Especialistas.</t>
  </si>
  <si>
    <t xml:space="preserve">La reasignación solo puede realizarse a usuarios habilitados con rol de Analista de Triaje. No se permite reasignar casos cerrados o no activos. El motivo de reasignación es obligatorio en todos los casos, dado que todo cambio de responsable en un caso de salud debe quedar justificado para la auditoría.</t>
  </si>
  <si>
    <t xml:space="preserve">El sistema deriva el caso al área correspondiente y permite reasignarlo sin pérdida de trazabilidad.</t>
  </si>
  <si>
    <t xml:space="preserve">US-008, US-009</t>
  </si>
  <si>
    <t xml:space="preserve">Conflicto entre interesados sobre prioridades de clasificación o flujos de derivación (RR-05).</t>
  </si>
  <si>
    <t xml:space="preserve">EP-05</t>
  </si>
  <si>
    <t xml:space="preserve">Visibilidad operativa y tablero de seguimiento</t>
  </si>
  <si>
    <t xml:space="preserve">Proveer una vista consolidada en tiempo real del estado de los casos y un tablero operativo para supervisores.</t>
  </si>
  <si>
    <t xml:space="preserve">La falta de visibilidad en tiempo real dificulta la gestión proactiva y el cumplimiento de los SLAs.</t>
  </si>
  <si>
    <t xml:space="preserve">Proveer visibilidad en tiempo real del estado de todos los casos activos para el 100% de los supervisores operativos (OB-05).</t>
  </si>
  <si>
    <t xml:space="preserve">Supervisor Operativo.</t>
  </si>
  <si>
    <t xml:space="preserve">La información del tablero se actualiza con una latencia máxima de 5 segundos respecto al evento real (RN-006).</t>
  </si>
  <si>
    <t xml:space="preserve">El supervisor puede visualizar el estado de los casos y el tablero operativo consolidado sin acceder a múltiples sistemas.</t>
  </si>
  <si>
    <t xml:space="preserve">US-010, US-011</t>
  </si>
  <si>
    <t xml:space="preserve">Sostenibilidad de los KPIs de tiempo y calidad ante alzas de demanda del 20% (CE-07).</t>
  </si>
  <si>
    <t xml:space="preserve">EP-06</t>
  </si>
  <si>
    <t xml:space="preserve">Gestión de SLA, alertas y casos en espera</t>
  </si>
  <si>
    <t xml:space="preserve">Gestionar las alertas preventivas de vencimiento de SLA y administrar los casos que quedan en espera por dependencias externas.</t>
  </si>
  <si>
    <t xml:space="preserve">La falta de gestión proactiva de los SLAs genera incumplimientos regulatorios y demoras no detectadas a tiempo.</t>
  </si>
  <si>
    <t xml:space="preserve">Identificación y resolución de desviaciones en el flujo en menos de 2 horas (CE-05).</t>
  </si>
  <si>
    <t xml:space="preserve">Supervisor Operativo, Analista de Triaje.</t>
  </si>
  <si>
    <t xml:space="preserve">Los umbrales de tiempo en espera varían según el tipo de caso (por ejemplo, apelación clínica urgente: 2 horas; queja: 48 horas) y deben alinearse con los SLAs regulatorios vigentes.</t>
  </si>
  <si>
    <t xml:space="preserve">El sistema genera alertas preventivas de SLA y permite gestionar casos en espera sin perder la vigilancia del SLA.</t>
  </si>
  <si>
    <t xml:space="preserve">US-012, US-013</t>
  </si>
  <si>
    <t xml:space="preserve">Cambios regulatorios durante el desarrollo que alteren los SLAs o los requisitos de trazabilidad (RR-07).</t>
  </si>
  <si>
    <t xml:space="preserve">EP-07</t>
  </si>
  <si>
    <t xml:space="preserve">Auditoría y trazabilidad</t>
  </si>
  <si>
    <t xml:space="preserve">Consultar el historial cronológico e inmutable de acciones sobre un caso y exportar las trazas de auditoría en formato PDF o CSV.</t>
  </si>
  <si>
    <t xml:space="preserve">La falta de trazabilidad completa dificulta las auditorías internas y las revisiones regulatorias de calidad.</t>
  </si>
  <si>
    <t xml:space="preserve">Garantizar trazabilidad completa de todas las acciones sobre los casos para sostener auditorías regulatorias sin requerimientos manuales adicionales (OB-06).</t>
  </si>
  <si>
    <t xml:space="preserve">Equipo de Calidad.</t>
  </si>
  <si>
    <t xml:space="preserve">El registro de auditoría debe incluir usuario, fecha, valor previo y nuevo de cada campo modificado.</t>
  </si>
  <si>
    <t xml:space="preserve">El sistema permite consultar y exportar el 100% de los eventos críticos con trazabilidad completa.</t>
  </si>
  <si>
    <t xml:space="preserve">US-014, US-015</t>
  </si>
  <si>
    <t xml:space="preserve">El volumen de datos de auditoría puede afectar el rendimiento de exportación en periodos de alta demanda.</t>
  </si>
  <si>
    <t xml:space="preserve">EP-08</t>
  </si>
  <si>
    <t xml:space="preserve">Gestionar la configuración operativa del sistema</t>
  </si>
  <si>
    <t xml:space="preserve">Gestionar el ciclo de vida de usuarios y roles, y actualizar las reglas de clasificación y los SLAs sin intervenir el código fuente.</t>
  </si>
  <si>
    <t xml:space="preserve">Los cambios en reglas de negocio y SLAs requieren actualmente intervención técnica, lo que genera demoras en la adaptación del sistema.</t>
  </si>
  <si>
    <t xml:space="preserve">Soportar la actualización de configuraciones sin interrupciones del servicio (RNF-MAN-003).</t>
  </si>
  <si>
    <t xml:space="preserve">Administrador.</t>
  </si>
  <si>
    <t xml:space="preserve">Los cambios en SLAs definidos por normativa regulatoria requieren aprobación formal de Compliance antes de aplicarse.</t>
  </si>
  <si>
    <t xml:space="preserve">El Administrador gestiona usuarios y roles, y configura reglas de negocio y SLAs desde el sistema sin afectar la operación.</t>
  </si>
  <si>
    <t xml:space="preserve">US-016, US-021, US-022, US-023 (US-017 dividida)</t>
  </si>
  <si>
    <t xml:space="preserve">Resistencia al cambio por parte del personal operativo ante nuevas reglas o flujos (RR-08).</t>
  </si>
  <si>
    <t xml:space="preserve">EP-09</t>
  </si>
  <si>
    <t xml:space="preserve">Garantizar acceso seguro y controlado al sistema</t>
  </si>
  <si>
    <t xml:space="preserve">Verificar la identidad de todos los usuarios del sistema mediante inicio de sesión único (SSO) antes de conceder acceso a cualquier función.</t>
  </si>
  <si>
    <t xml:space="preserve">El acceso no controlado a información sensible de salud representa un riesgo regulatorio y de seguridad para la organización.</t>
  </si>
  <si>
    <t xml:space="preserve">Garantizar que el 100% de los accesos requieran autenticación válida (RNF-SEG-001).</t>
  </si>
  <si>
    <t xml:space="preserve">Todos los usuarios del sistema.</t>
  </si>
  <si>
    <t xml:space="preserve">El bloqueo automático se activa tras 5 intentos fallidos consecutivos; la sesión se cierra automáticamente tras 15 minutos de inactividad. La autenticación se integra con el directorio corporativo de identidades (LDAP/AD).</t>
  </si>
  <si>
    <t xml:space="preserve">El sistema autentica exclusivamente mediante SSO y aplica control de acceso basado en roles (RBAC).</t>
  </si>
  <si>
    <t xml:space="preserve">US-018</t>
  </si>
  <si>
    <t xml:space="preserve">Los bloqueos por sospecha de acceso no autorizado requieren intervención explícita del administrador, con el consecuente registro en el Audit Trail.</t>
  </si>
  <si>
    <t xml:space="preserve">EP-10</t>
  </si>
  <si>
    <t xml:space="preserve">Obtener información consolidada del afiliado</t>
  </si>
  <si>
    <t xml:space="preserve">Consolidar automáticamente información de afiliados, pólizas e historial clínico desde sistemas externos, y permitir visualizar los adjuntos clínicos con control de acceso.</t>
  </si>
  <si>
    <t xml:space="preserve">La información dispersa en sistemas heterogéneos obliga a los analistas a navegar múltiples plataformas para reunir el expediente completo de cada caso.</t>
  </si>
  <si>
    <t xml:space="preserve">Disponibilidad de integración con Core Pólizas y el sistema EHR dentro de los tiempos de espera (timeout) definidos por sistema.</t>
  </si>
  <si>
    <t xml:space="preserve">Worker de Integración (Sistema), Analista de Triaje, Director Médico.</t>
  </si>
  <si>
    <t xml:space="preserve">Timeouts recomendados: Core Pólizas 5 segundos, EHR 8 segundos, correo 10 segundos. Ante un fallo, el sistema registra el error y continúa el flujo con los datos disponibles.</t>
  </si>
  <si>
    <t xml:space="preserve">El sistema integra automáticamente la información disponible desde los sistemas externos y permite visualizar los adjuntos clínicos con control de acceso.</t>
  </si>
  <si>
    <t xml:space="preserve">US-020, US-024, US-025, US-026, US-027 (US-019 dividida)</t>
  </si>
  <si>
    <t xml:space="preserve">Expedientes con información parcial por fuentes externas no disponibles pueden retrasar la evaluación del caso (RR-06). El riesgo técnico asociado (estructura de los sistemas legados de origen) se gestiona en el plan de riesgos técnicos del proyecto.</t>
  </si>
  <si>
    <t xml:space="preserve">Plantilla de historias de usuario</t>
  </si>
  <si>
    <t xml:space="preserve">Registre una historia por fila. La historia debe expresar una funcionalidad de software pequeña, estimable, priorizable y verificable.</t>
  </si>
  <si>
    <t xml:space="preserve">Título</t>
  </si>
  <si>
    <t xml:space="preserve">Nombre breve de la funcionalidad.</t>
  </si>
  <si>
    <t xml:space="preserve">Debe ser específico y entendible.</t>
  </si>
  <si>
    <t xml:space="preserve">Descripción</t>
  </si>
  <si>
    <t xml:space="preserve">Redacte la historia desde la perspectiva del usuario.</t>
  </si>
  <si>
    <t xml:space="preserve">Como [rol], quiero [funcionalidad], para [beneficio].</t>
  </si>
  <si>
    <t xml:space="preserve">Contexto / notas</t>
  </si>
  <si>
    <t xml:space="preserve">Aclare reglas, antecedentes o decisiones relevantes.</t>
  </si>
  <si>
    <t xml:space="preserve">No repita la descripción; agregue información que reduzca ambigüedad.</t>
  </si>
  <si>
    <t xml:space="preserve">Prioridad</t>
  </si>
  <si>
    <t xml:space="preserve">Importancia relativa para planificación.</t>
  </si>
  <si>
    <t xml:space="preserve">Alta, Media o Baja.</t>
  </si>
  <si>
    <t xml:space="preserve">Dependencias</t>
  </si>
  <si>
    <t xml:space="preserve">Historias, épicas, sistemas o condiciones previas.</t>
  </si>
  <si>
    <t xml:space="preserve">Ej.: depende de US-003 o de integración con pasarela de pagos.</t>
  </si>
  <si>
    <t xml:space="preserve">Estimación</t>
  </si>
  <si>
    <t xml:space="preserve">Tamaño relativo del esfuerzo.</t>
  </si>
  <si>
    <t xml:space="preserve">Usar planning poker para estimar puntos de historia de usuario</t>
  </si>
  <si>
    <t xml:space="preserve">Criterios de Aceptación</t>
  </si>
  <si>
    <t xml:space="preserve">Condiciones verificables para aceptar la historia.</t>
  </si>
  <si>
    <t xml:space="preserve">Use Dado que / Cuando / Entonces o lista de validaciones observables.</t>
  </si>
  <si>
    <t xml:space="preserve">Notas de diseño / UX</t>
  </si>
  <si>
    <t xml:space="preserve">Consideraciones de interfaz, accesibilidad o experiencia.</t>
  </si>
  <si>
    <t xml:space="preserve">Incluya restricciones de pantalla, mensajes, navegación o prototipo.</t>
  </si>
  <si>
    <t xml:space="preserve">Riesgos / preocupaciones</t>
  </si>
  <si>
    <t xml:space="preserve">Aspectos que pueden afectar implementación o validación.</t>
  </si>
  <si>
    <t xml:space="preserve">Registre riesgos técnicos, dependencia externa, datos, seguridad o normativa.</t>
  </si>
  <si>
    <t xml:space="preserve">Registro de historias de usuario</t>
  </si>
  <si>
    <t xml:space="preserve">Épica relacionada</t>
  </si>
  <si>
    <t xml:space="preserve">US-001</t>
  </si>
  <si>
    <t xml:space="preserve">Registro de caso A&amp;G</t>
  </si>
  <si>
    <t xml:space="preserve">Como Analista de Triaje, quiero registrar un nuevo caso de Apelación, Queja o Reclamación consolidando automáticamente los datos disponibles, para iniciar su gestión con información completa desde el primer momento.</t>
  </si>
  <si>
    <t xml:space="preserve">Corresponde a CU-001. El registro consolida automáticamente los datos de afiliado, póliza e historial clínico disponibles en sistemas externos y dispara la clasificación preliminar. Beneficio principal: Reduce tiempos de atención.</t>
  </si>
  <si>
    <t xml:space="preserve">Alta</t>
  </si>
  <si>
    <t xml:space="preserve">Ninguna (requiere autenticación previa, US-018)</t>
  </si>
  <si>
    <t xml:space="preserve">5</t>
  </si>
  <si>
    <t xml:space="preserve">Dado que el Analista de Triaje ingresa canal de origen, tipo de caso, identificación del afiliado o proveedor y descripción inicial, cuando confirma el registro, entonces el sistema crea el caso y dispara la clasificación preliminar automática. Dado que la descripción inicial tiene menos de 30 caracteres, cuando el analista intenta continuar, entonces el sistema bloquea el avance y solicita completar el campo. Dado que el caso fue registrado, cuando el sistema consolida datos externos, entonces muestra el nivel de confiabilidad de cada dato incorporado.</t>
  </si>
  <si>
    <t xml:space="preserve">Formulario con campos obligatorios resaltados. Indicador de progreso de consolidación automática mientras se consultan los sistemas externos.</t>
  </si>
  <si>
    <t xml:space="preserve">Revisada</t>
  </si>
  <si>
    <t xml:space="preserve">US-002</t>
  </si>
  <si>
    <t xml:space="preserve">Consulta y búsqueda de casos</t>
  </si>
  <si>
    <t xml:space="preserve">Como Analista de Triaje, quiero localizar y filtrar los casos A&amp;G según mis permisos, para ubicar rápidamente el caso que necesito atender.</t>
  </si>
  <si>
    <t xml:space="preserve">Corresponde a CU-002. La búsqueda respeta el perfil de acceso a datos sensibles del usuario autenticado. Beneficio principal: Incrementa la productividad.</t>
  </si>
  <si>
    <t xml:space="preserve">Media</t>
  </si>
  <si>
    <t xml:space="preserve">3</t>
  </si>
  <si>
    <t xml:space="preserve">Dado que el Analista de Triaje accede al listado de casos, cuando aplica un filtro por estado, canal o fecha, entonces el sistema muestra solo los casos que cumplen el criterio. Dado que el analista busca por identificador o nombre del afiliado, cuando ejecuta la búsqueda, entonces el sistema muestra los casos coincidentes según su perfil de acceso. Dado que no existen resultados para el criterio aplicado, entonces el sistema muestra un mensaje indicando que no se encontraron casos.</t>
  </si>
  <si>
    <t xml:space="preserve">Barra de búsqueda y filtros combinables. Indicador visual del filtro activo con opción de limpiar.</t>
  </si>
  <si>
    <t xml:space="preserve">Riesgo de exposición de datos si los permisos de perfil no se validan correctamente en cada consulta.</t>
  </si>
  <si>
    <t xml:space="preserve">US-003</t>
  </si>
  <si>
    <t xml:space="preserve">Edición y actualización de caso</t>
  </si>
  <si>
    <t xml:space="preserve">Como Analista de Triaje, quiero actualizar o corregir la información de un caso en estado editable, para mantener los datos precisos durante su gestión.</t>
  </si>
  <si>
    <t xml:space="preserve">Corresponde a CU-003. Solo los casos en estado editable permiten modificación; los cambios quedan registrados en el historial. Beneficio principal: Disminuye errores manuales.</t>
  </si>
  <si>
    <t xml:space="preserve">Dado que el caso se encuentra en estado editable, cuando el analista modifica un campo permitido, entonces el sistema guarda el cambio y lo registra en el historial. Dado que el caso no está en estado editable, cuando el analista intenta modificarlo, entonces el sistema bloquea la edición e informa el motivo. Dado que la edición se completó correctamente, cuando el analista consulta el historial, entonces el sistema muestra el valor anterior y el nuevo del campo modificado.</t>
  </si>
  <si>
    <t xml:space="preserve">Campos editables resaltados frente a los de solo lectura. Confirmación antes de guardar cambios sobre campos críticos.</t>
  </si>
  <si>
    <t xml:space="preserve">Riesgo de pérdida de trazabilidad si una edición no queda correctamente registrada en el historial.</t>
  </si>
  <si>
    <t xml:space="preserve">US-004</t>
  </si>
  <si>
    <t xml:space="preserve">Clasificación automática del caso</t>
  </si>
  <si>
    <t xml:space="preserve">Como Analista de Triaje, quiero que el sistema clasifique automáticamente el caso registrado asignando categoría, subcategoría, prioridad y nivel de confiabilidad, para agilizar la categorización inicial sin depender únicamente del criterio manual.</t>
  </si>
  <si>
    <t xml:space="preserve">Corresponde a CU-005. El motor de clasificación aplica reglas de negocio configurables sobre la descripción y los datos consolidados del caso. Beneficio principal: Reduce tiempos de atención.</t>
  </si>
  <si>
    <t xml:space="preserve">8</t>
  </si>
  <si>
    <t xml:space="preserve">Dado que el caso fue registrado con la información mínima requerida, cuando el motor de clasificación procesa el caso, entonces el sistema asigna categoría, prioridad y nivel de confiabilidad. Dado que el nivel de confiabilidad resulta inferior al umbral configurado para revisión manual, cuando se genera la clasificación, entonces el sistema marca el caso para revisión manual obligatoria. Dado que el nivel de confiabilidad alcanza o supera dicho umbral, cuando se genera la clasificación, entonces el sistema la aplica directamente, permitiendo su corrección posterior por el analista.</t>
  </si>
  <si>
    <t xml:space="preserve">Indicador visual del nivel de confiabilidad de la clasificación (por ejemplo, semáforo). Etiqueta clara de 'revisión manual requerida' cuando aplique.</t>
  </si>
  <si>
    <t xml:space="preserve">Una precisión de clasificación insuficiente comprometería el objetivo de negocio OB-02 y afectaría la confianza de los analistas en la clasificación sugerida. El ajuste técnico del motor de clasificación se gestiona en el plan de riesgos técnicos del proyecto.</t>
  </si>
  <si>
    <t xml:space="preserve">US-005</t>
  </si>
  <si>
    <t xml:space="preserve">Validación o corrección de la clasificación</t>
  </si>
  <si>
    <t xml:space="preserve">Como Analista de Triaje, quiero validar o corregir la clasificación automática del caso, para asegurar que la categorización final sea correcta antes de continuar con el proceso.</t>
  </si>
  <si>
    <t xml:space="preserve">Corresponde a CU-006. Toda corrección de la clasificación automática requiere justificación obligatoria. Beneficio principal: Disminuye errores manuales.</t>
  </si>
  <si>
    <t xml:space="preserve">Dado que el sistema generó una clasificación automática, cuando el analista la revisa y está de acuerdo, entonces confirma la clasificación sin cambios adicionales. Dado que el analista corrige la categoría o prioridad sugerida, cuando confirma el cambio, entonces el sistema exige el registro de una justificación antes de guardar. Dado que la corrección fue guardada, cuando se consulta el historial del caso, entonces el sistema muestra la clasificación original, la corregida y la justificación asociada.</t>
  </si>
  <si>
    <t xml:space="preserve">Panel comparativo entre la clasificación sugerida y la seleccionada por el analista. Campo de justificación obligatorio visualmente resaltado al corregir.</t>
  </si>
  <si>
    <t xml:space="preserve">Correcciones sin justificación adecuada pueden dificultar la mejora del modelo de clasificación con el tiempo.</t>
  </si>
  <si>
    <t xml:space="preserve">US-006</t>
  </si>
  <si>
    <t xml:space="preserve">Registro de justificación de triaje</t>
  </si>
  <si>
    <t xml:space="preserve">Como Analista de Triaje, quiero registrar de forma auditable el fundamento de mis decisiones de triaje, para sostener la trazabilidad exigida en auditorías regulatorias.</t>
  </si>
  <si>
    <t xml:space="preserve">Corresponde a CU-008. La justificación queda vinculada de forma inmutable a la decisión de triaje correspondiente. Beneficio principal: Cumple requisitos regulatorios.</t>
  </si>
  <si>
    <t xml:space="preserve">2</t>
  </si>
  <si>
    <t xml:space="preserve">Dado que el analista toma una decisión de triaje que requiere justificación, cuando la registra, entonces el sistema la asocia de forma inmutable a la decisión correspondiente. Dado que la justificación es obligatoria y el campo está vacío, cuando el analista intenta continuar, entonces el sistema bloquea el avance. Dado que la justificación fue registrada, cuando el Equipo de Calidad consulta el caso, entonces puede visualizar el fundamento completo de la decisión.</t>
  </si>
  <si>
    <t xml:space="preserve">Campo de texto con mínimo de caracteres para evitar justificaciones vacías o insuficientes.</t>
  </si>
  <si>
    <t xml:space="preserve">Justificaciones genéricas o poco descriptivas pueden reducir el valor de las auditorías posteriores.</t>
  </si>
  <si>
    <t xml:space="preserve">Detección de casos duplicados o relacionados</t>
  </si>
  <si>
    <t xml:space="preserve">Como Analista de Triaje, quiero que el sistema detecte automáticamente casos duplicados o relacionados al registrar un nuevo caso, para evitar atención redundante y mantener consistencia en el seguimiento.</t>
  </si>
  <si>
    <t xml:space="preserve">Corresponde a CU-007. La detección se basa en cálculo de similitud semántica entre el nuevo caso y los casos activos existentes. Beneficio principal: Disminuye errores manuales.</t>
  </si>
  <si>
    <t xml:space="preserve">Dado que se registra un nuevo caso, cuando el motor de detección calcula un nivel de similitud igual o superior al umbral configurado de duplicado, entonces el sistema lo marca como duplicado. Dado que el nivel de similitud se ubica en el rango configurado como relacionado, cuando se completa el análisis, entonces el sistema marca el caso como relacionado sin cerrarlo automáticamente. Dado que el nivel de similitud no alcanza el umbral mínimo configurado, entonces el sistema trata el caso como único y continúa el flujo normal de registro.</t>
  </si>
  <si>
    <t xml:space="preserve">Alerta visual al analista mostrando los casos candidatos a duplicado o relación, con porcentaje de similitud.</t>
  </si>
  <si>
    <t xml:space="preserve">Los umbrales de similitud configurados deben validarse con Compliance y ajustarse tras el primer mes de operación real.</t>
  </si>
  <si>
    <t xml:space="preserve">US-008</t>
  </si>
  <si>
    <t xml:space="preserve">Derivación de caso al área correspondiente</t>
  </si>
  <si>
    <t xml:space="preserve">Como Analista de Triaje, quiero derivar un caso ya clasificado al área o especialista responsable, para que continúe su proceso de resolución.</t>
  </si>
  <si>
    <t xml:space="preserve">Corresponde a CU-004. La derivación solo puede realizarse una vez confirmada la clasificación del caso. Beneficio principal: Reduce tiempos de atención.</t>
  </si>
  <si>
    <t xml:space="preserve">Dado que el caso tiene una clasificación confirmada, cuando el analista lo deriva, entonces el sistema asigna el caso al área o especialista correspondiente. Dado que el caso no cuenta con clasificación confirmada, cuando el analista intenta derivarlo, entonces el sistema bloquea la acción e informa el motivo. Dado que la derivación se completó, cuando el especialista consulta sus casos asignados, entonces el sistema muestra el caso derivado con su información consolidada.</t>
  </si>
  <si>
    <t xml:space="preserve">Selector de área o especialista sugerido según la categoría del caso. Confirmación previa a la derivación.</t>
  </si>
  <si>
    <t xml:space="preserve">Una derivación incorrecta genera reprocesos y afecta el objetivo de negocio OB-04.</t>
  </si>
  <si>
    <t xml:space="preserve">US-009</t>
  </si>
  <si>
    <t xml:space="preserve">Reasignación de caso</t>
  </si>
  <si>
    <t xml:space="preserve">Como Supervisor Operativo, quiero cambiar el responsable asignado a un caso A&amp;G activo registrando el motivo del cambio, para asegurar la continuidad de su gestión con respaldo auditable.</t>
  </si>
  <si>
    <t xml:space="preserve">Corresponde a CU-012. La reasignación solo puede realizarse a analistas habilitados y sobre casos activos. El motivo de reasignación es obligatorio: todo cambio de responsable en un caso de salud debe quedar justificado para la auditoría. Beneficio principal: Cumple requisitos regulatorios.</t>
  </si>
  <si>
    <t xml:space="preserve">Dado que el Supervisor Operativo selecciona un caso activo, cuando elige un nuevo Analista de Triaje habilitado, registra el motivo de la reasignación y confirma, entonces el sistema actualiza el responsable del caso. Dado que el analista seleccionado no está habilitado para recibir casos, cuando el supervisor intenta confirmar, entonces el sistema informa la restricción y solicita otro responsable. Dado que el motivo de reasignación está vacío, cuando el supervisor intenta confirmar, entonces el sistema bloquea la acción y solicita completar el campo obligatorio. Dado que la reasignación fue confirmada, cuando se consulta la trazabilidad del caso, entonces el sistema muestra responsable anterior, nuevo responsable, motivo, usuario, fecha y hora.</t>
  </si>
  <si>
    <t xml:space="preserve">Vista de reasignación con responsable actual visible, buscador de analistas habilitados y campo de motivo marcado como obligatorio.</t>
  </si>
  <si>
    <t xml:space="preserve">La reasignación no debe alterar la clasificación ni el contenido del caso; solo el responsable de su gestión.</t>
  </si>
  <si>
    <t xml:space="preserve">US-010</t>
  </si>
  <si>
    <t xml:space="preserve">Visualización del estado de los casos</t>
  </si>
  <si>
    <t xml:space="preserve">Como Supervisor Operativo, quiero visualizar el estado actual de los casos A&amp;G, para dar seguimiento oportuno a la operación sin acceder a múltiples sistemas.</t>
  </si>
  <si>
    <t xml:space="preserve">Corresponde a CU-009. La vista se actualiza en tiempo real con una latencia máxima de 5 segundos. Beneficio principal: Incrementa la productividad.</t>
  </si>
  <si>
    <t xml:space="preserve">Dado que el Supervisor Operativo accede a la vista de casos, cuando la página carga, entonces el sistema muestra el estado actual de todos los casos según su alcance de supervisión. Dado que un caso cambia de estado, cuando el supervisor actualiza o vuelve a consultar la vista, entonces el sistema refleja el estado más reciente. Dado que no existen casos activos para el criterio de vista seleccionado, entonces el sistema muestra un mensaje indicando que no hay casos para mostrar.</t>
  </si>
  <si>
    <t xml:space="preserve">Listado o vista de tarjetas con etiquetas de estado diferenciadas por color.</t>
  </si>
  <si>
    <t xml:space="preserve">Una latencia mayor a la definida en RN-006 afectaría la utilidad de la vista para la toma de decisiones.</t>
  </si>
  <si>
    <t xml:space="preserve">US-011</t>
  </si>
  <si>
    <t xml:space="preserve">Visualización del tablero operativo</t>
  </si>
  <si>
    <t xml:space="preserve">Como Supervisor Operativo, quiero acceder a un tablero consolidado con indicadores operativos y alertas de SLA, para tener visibilidad global del desempeño del equipo de triaje.</t>
  </si>
  <si>
    <t xml:space="preserve">Corresponde a CU-010. El tablero complementa la vista de casos individuales con métricas agregadas. Beneficio principal: Incrementa la productividad.</t>
  </si>
  <si>
    <t xml:space="preserve">Dado que el Supervisor Operativo accede al tablero, cuando la página carga, entonces el sistema muestra los indicadores de volumen, tiempos de triaje y alertas de SLA vigentes. Dado que existen casos próximos a vencer su SLA, cuando el supervisor consulta el tablero, entonces el sistema los destaca visualmente. Dado que el supervisor filtra el tablero por periodo o equipo, cuando aplica el filtro, entonces el sistema recalcula los indicadores mostrados.</t>
  </si>
  <si>
    <t xml:space="preserve">Panel con gráficos e indicadores clave (KPIs) y sección de alertas destacadas.</t>
  </si>
  <si>
    <t xml:space="preserve">Picos de demanda del 20% podrían afectar el rendimiento de carga del tablero (CE-07).</t>
  </si>
  <si>
    <t xml:space="preserve">US-012</t>
  </si>
  <si>
    <t xml:space="preserve">Gestión de alertas de SLA</t>
  </si>
  <si>
    <t xml:space="preserve">Como Supervisor Operativo, quiero revisar y gestionar las alertas de casos próximos a vencer su SLA, para actuar antes de que se produzca un incumplimiento.</t>
  </si>
  <si>
    <t xml:space="preserve">Corresponde a CU-011. Cada alerta gestionada queda registrada en la trazabilidad del caso asociado. Beneficio principal: Cumple requisitos regulatorios.</t>
  </si>
  <si>
    <t xml:space="preserve">Dado que existe una alerta preventiva de SLA activa, cuando el Supervisor Operativo la consulta, entonces el sistema muestra el caso asociado y las acciones disponibles. Dado que el supervisor selecciona una acción de gestión válida, cuando la confirma, entonces el sistema actualiza la alerta y registra la gestión en la trazabilidad del caso. Dado que la gestión de la alerta no puede completarse, entonces el sistema conserva la alerta activa sin modificar el estado del caso.</t>
  </si>
  <si>
    <t xml:space="preserve">Listado priorizado de alertas por tiempo restante. Acciones rápidas disponibles desde el propio listado.</t>
  </si>
  <si>
    <t xml:space="preserve">Una resolución tardía de alertas puede derivar en incumplimiento del criterio de éxito CE-05 (menos de 2 horas).</t>
  </si>
  <si>
    <t xml:space="preserve">US-013</t>
  </si>
  <si>
    <t xml:space="preserve">Gestión de caso en espera</t>
  </si>
  <si>
    <t xml:space="preserve">Como Analista de Triaje, quiero colocar un caso en espera por una dependencia externa y vigilar su SLA, para evitar perder el control del caso mientras se resuelve la dependencia.</t>
  </si>
  <si>
    <t xml:space="preserve">Corresponde a CU-013. El umbral de tiempo en espera antes de alertar al supervisor varía según el tipo de caso. Beneficio principal: Reduce tiempos de atención.</t>
  </si>
  <si>
    <t xml:space="preserve">Dado que el analista identifica una dependencia externa, cuando coloca el caso en espera, entonces el sistema registra el motivo y comienza a vigilar el SLA aplicable. Dado que el tiempo en espera supera el umbral definido para el tipo de caso, entonces el sistema genera una alerta al Supervisor Operativo. Dado que la dependencia externa se resuelve, cuando el analista retoma el caso, entonces el sistema lo devuelve a su flujo normal y detiene la alerta de espera.</t>
  </si>
  <si>
    <t xml:space="preserve">Indicador visual de 'En espera' con tiempo transcurrido visible. Motivo de espera obligatorio y visible en el detalle del caso.</t>
  </si>
  <si>
    <t xml:space="preserve">Umbrales de espera mal calibrados podrían generar alertas excesivas o insuficientes según el tipo de caso.</t>
  </si>
  <si>
    <t xml:space="preserve">US-014</t>
  </si>
  <si>
    <t xml:space="preserve">Consulta del historial de cambios</t>
  </si>
  <si>
    <t xml:space="preserve">Como integrante del Equipo de Calidad, quiero consultar el historial cronológico e inmutable de las acciones sobre un caso, para verificar el cumplimiento del proceso de triaje.</t>
  </si>
  <si>
    <t xml:space="preserve">Corresponde a CU-014. El historial incluye usuario, fecha, valor previo y nuevo de cada campo modificado. Beneficio principal: Cumple requisitos regulatorios.</t>
  </si>
  <si>
    <t xml:space="preserve">Dado que el integrante del Equipo de Calidad accede al historial de un caso, cuando la vista carga, entonces el sistema muestra todos los eventos en orden cronológico. Dado que un evento corresponde a un cambio de campo, cuando se consulta el detalle, entonces el sistema muestra el valor anterior y el nuevo. Dado que el historial contiene un gran volumen de eventos, entonces el sistema permite filtrar por tipo de evento o rango de fechas.</t>
  </si>
  <si>
    <t xml:space="preserve">Vista de línea de tiempo (timeline) con filtros por tipo de evento y fecha.</t>
  </si>
  <si>
    <t xml:space="preserve">Un historial incompleto o alterable comprometería el objetivo de trazabilidad completa (OB-06).</t>
  </si>
  <si>
    <t xml:space="preserve">US-015</t>
  </si>
  <si>
    <t xml:space="preserve">Exportación de trazas de auditoría</t>
  </si>
  <si>
    <t xml:space="preserve">Como integrante del Equipo de Calidad, quiero generar y descargar el Audit Trail de los casos en formato PDF o CSV, para cumplir con los requerimientos de auditorías regulatorias.</t>
  </si>
  <si>
    <t xml:space="preserve">Corresponde a CU-015. El formato PDF incluye firma digital del sistema para validez regulatoria; el CSV incluye la IP de origen de la sesión. Beneficio principal: Cumple requisitos regulatorios.</t>
  </si>
  <si>
    <t xml:space="preserve">Dado que el integrante del Equipo de Calidad selecciona un rango de casos y un periodo, cuando solicita la exportación, entonces el sistema genera el archivo en el formato elegido (PDF o CSV). Dado que el archivo PDF fue generado, cuando se descarga, entonces incluye encabezado con datos del caso, periodo del reporte y firma digital del sistema. Dado que el archivo CSV fue generado, cuando se descarga, entonces incluye adicionalmente la IP de origen de la sesión de cada evento.</t>
  </si>
  <si>
    <t xml:space="preserve">Selector de rango de fechas y formato de exportación. Indicador de progreso durante la generación del archivo.</t>
  </si>
  <si>
    <t xml:space="preserve">Un volumen alto de eventos puede afectar el tiempo de generación del archivo de auditoría.</t>
  </si>
  <si>
    <t xml:space="preserve">US-016</t>
  </si>
  <si>
    <t xml:space="preserve">Administración de usuarios y roles</t>
  </si>
  <si>
    <t xml:space="preserve">Como Administrador, quiero gestionar el ciclo de vida de los usuarios y la asignación de roles, para mantener el control de acceso alineado con la estructura del equipo.</t>
  </si>
  <si>
    <t xml:space="preserve">Corresponde a CU-016. La gestión de usuarios se sincroniza con el directorio corporativo de identidades de la organización. Beneficio principal: Reduce costos operativos.</t>
  </si>
  <si>
    <t xml:space="preserve">Ninguna</t>
  </si>
  <si>
    <t xml:space="preserve">Dado que el Administrador crea un nuevo usuario, cuando le asigna un rol, entonces el sistema habilita los permisos correspondientes a ese rol. Dado que el Administrador desactiva un usuario, cuando confirma la acción, entonces el sistema revoca inmediatamente su acceso al sistema. Dado que un usuario cambia de rol, cuando el Administrador confirma el cambio, entonces el sistema actualiza sus permisos sin requerir un nuevo inicio de sesión.</t>
  </si>
  <si>
    <t xml:space="preserve">Panel de administración con listado de usuarios, filtro por rol y estado (activo/inactivo).</t>
  </si>
  <si>
    <t xml:space="preserve">Un error en la asignación de roles podría otorgar acceso indebido a información sensible de salud.</t>
  </si>
  <si>
    <t xml:space="preserve">US-017</t>
  </si>
  <si>
    <t xml:space="preserve">Configuración de reglas de negocio y SLAs (dividida)</t>
  </si>
  <si>
    <t xml:space="preserve">Historia dividida por agrupar responsabilidades independientes (configuración de reglas internas, aprobación de SLAs regulatorios e historial de configuración) en una sola unidad de trabajo. Ver US-021, US-022 y US-023.</t>
  </si>
  <si>
    <t xml:space="preserve">Corresponde a CU-017. Conservado únicamente para trazabilidad histórica del backlog.</t>
  </si>
  <si>
    <t xml:space="preserve">Descartada</t>
  </si>
  <si>
    <t xml:space="preserve">Autenticación de usuario (Login / SSO)</t>
  </si>
  <si>
    <t xml:space="preserve">Como usuario del sistema, quiero autenticarme mediante inicio de sesión único (SSO) con mi cuenta corporativa, para acceder de forma segura únicamente a las funciones correspondientes a mi rol.</t>
  </si>
  <si>
    <t xml:space="preserve">Corresponde a CU-018. Es la precondición de acceso para todas las demás historias del sistema. La validación de credenciales se realiza contra el directorio corporativo de identidades. Beneficio principal: Cumple requisitos regulatorios.</t>
  </si>
  <si>
    <t xml:space="preserve">Ninguna (prerrequisito de todas las demás historias)</t>
  </si>
  <si>
    <t xml:space="preserve">Dado que el usuario ingresa credenciales válidas mediante SSO, cuando el sistema las valida contra el directorio corporativo de identidades, entonces concede acceso según el rol asignado. Dado que el usuario acumula 5 intentos fallidos consecutivos, cuando ocurre el quinto intento, entonces el sistema bloquea la cuenta automáticamente. Dado que la sesión permanece inactiva durante 15 minutos, entonces el sistema cierra la sesión automáticamente y solicita una nueva autenticación.</t>
  </si>
  <si>
    <t xml:space="preserve">Pantalla de inicio de sesión integrada con el proveedor de identidad corporativo. Mensaje claro de bloqueo por intentos fallidos.</t>
  </si>
  <si>
    <t xml:space="preserve">Bloqueos por sospecha de acceso no autorizado requieren intervención explícita del Administrador, con registro en el Audit Trail.</t>
  </si>
  <si>
    <t xml:space="preserve">US-019</t>
  </si>
  <si>
    <t xml:space="preserve">Consolidación de datos desde sistemas externos (dividida)</t>
  </si>
  <si>
    <t xml:space="preserve">Historia dividida por agrupar en una sola unidad de trabajo la obtención de datos de póliza, historial clínico y correspondencia, más la consolidación del expediente. Ver US-024, US-025, US-026 y US-027.</t>
  </si>
  <si>
    <t xml:space="preserve">Corresponde a CU-019. Conservado únicamente para trazabilidad histórica del backlog.</t>
  </si>
  <si>
    <t xml:space="preserve">US-020</t>
  </si>
  <si>
    <t xml:space="preserve">Visualización de adjuntos clínicos</t>
  </si>
  <si>
    <t xml:space="preserve">Como Analista de Triaje, quiero revisar los documentos clínicos adjuntos de un caso mediante un visor integrado, para evaluar la información médica relevante sin descargar archivos fuera del sistema.</t>
  </si>
  <si>
    <t xml:space="preserve">Corresponde a CU-020. El acceso a los adjuntos clínicos está controlado según el perfil del usuario. Beneficio principal: Mejora la experiencia del usuario.</t>
  </si>
  <si>
    <t xml:space="preserve">US-025</t>
  </si>
  <si>
    <t xml:space="preserve">Dado que el caso tiene adjuntos clínicos en un formato soportado (PDF, JPEG, PNG o TIFF), cuando el analista los abre, entonces el sistema los muestra en el visor integrado. Dado que el usuario no cuenta con permisos para ver adjuntos clínicos, cuando intenta abrirlos, entonces el sistema deniega el acceso y registra el intento. Dado que un adjunto está en un formato no soportado, entonces el sistema ofrece la opción de descarga directa como alternativa.</t>
  </si>
  <si>
    <t xml:space="preserve">Visor integrado con controles de zoom y navegación entre páginas o imágenes. Marca de agua o control visual de acceso restringido.</t>
  </si>
  <si>
    <t xml:space="preserve">El formato DICOM (imágenes médicas especializadas) queda fuera de alcance de esta historia y se considera para una fase 2.</t>
  </si>
  <si>
    <t xml:space="preserve">US-021</t>
  </si>
  <si>
    <t xml:space="preserve">Configuración de reglas de clasificación</t>
  </si>
  <si>
    <t xml:space="preserve">Como Administrador, quiero actualizar las reglas internas de clasificación del sistema, para adaptar el triaje a cambios operativos sin depender de intervención técnica.</t>
  </si>
  <si>
    <t xml:space="preserve">Corresponde a CU-021. Parte de la división de US-017. Aplica únicamente a reglas internas, no sujetas a aprobación regulatoria. Beneficio principal: Incrementa la productividad.</t>
  </si>
  <si>
    <t xml:space="preserve">Dado que el Administrador modifica una regla de clasificación interna, cuando la guarda, entonces el sistema la aplica sin interrupción del servicio. Dado que la regla no supera las validaciones de consistencia, cuando el Administrador intenta guardarla, entonces el sistema bloquea el guardado e indica el motivo.</t>
  </si>
  <si>
    <t xml:space="preserve">Panel de configuración con distinción visual entre reglas internas y reglas sujetas a aprobación regulatoria.</t>
  </si>
  <si>
    <t xml:space="preserve">Cambios regulatorios no anticipados durante el desarrollo podrían requerir ajustes adicionales de configurabilidad (RR-07).</t>
  </si>
  <si>
    <t xml:space="preserve">US-022</t>
  </si>
  <si>
    <t xml:space="preserve">Aprobación de cambios en SLAs regulatorios</t>
  </si>
  <si>
    <t xml:space="preserve">Como Administrador, quiero que todo cambio en un SLA regulatorio quede pendiente de aprobación formal de Compliance antes de aplicarse, para garantizar el cumplimiento normativo.</t>
  </si>
  <si>
    <t xml:space="preserve">Corresponde a CU-022. Parte de la división de US-017. Beneficio principal: Cumple requisitos regulatorios.</t>
  </si>
  <si>
    <t xml:space="preserve">Dado que el Administrador edita un SLA regulatorio, cuando intenta guardarlo, entonces el sistema lo coloca en estado "Solo Lectura / Pendiente" hasta la aprobación de Compliance. Dado que Compliance aprueba el cambio, cuando la aprobación se registra, entonces el sistema aplica el nuevo SLA. Dado que Compliance rechaza el cambio, entonces el sistema conserva el SLA vigente sin modificaciones.</t>
  </si>
  <si>
    <t xml:space="preserve">Distinción visual clara del estado "Solo Lectura / Pendiente" hasta que exista aprobación formal.</t>
  </si>
  <si>
    <t xml:space="preserve">US-023</t>
  </si>
  <si>
    <t xml:space="preserve">Historial de cambios de configuración</t>
  </si>
  <si>
    <t xml:space="preserve">Como Administrador, quiero consultar el historial de cambios realizados sobre reglas de clasificación y SLAs, para verificar quién modificó cada configuración y cuándo.</t>
  </si>
  <si>
    <t xml:space="preserve">Corresponde a CU-023. Parte de la división de US-017. Beneficio principal: Cumple requisitos regulatorios.</t>
  </si>
  <si>
    <t xml:space="preserve">US-021, US-022</t>
  </si>
  <si>
    <t xml:space="preserve">Dado que una regla o SLA fue actualizado, cuando el Administrador consulta el historial de configuración, entonces el sistema muestra el valor anterior, el nuevo y el usuario responsable. Dado que existen múltiples cambios sobre el mismo parámetro, cuando se consulta el historial, entonces el sistema los lista en orden cronológico.</t>
  </si>
  <si>
    <t xml:space="preserve">Vista de línea de tiempo por parámetro de configuración.</t>
  </si>
  <si>
    <t xml:space="preserve">Un historial incompleto dificultaría sustentar auditorías sobre cambios de configuración.</t>
  </si>
  <si>
    <t xml:space="preserve">US-024</t>
  </si>
  <si>
    <t xml:space="preserve">Consolidación de datos de póliza y afiliado</t>
  </si>
  <si>
    <t xml:space="preserve">Como Analista de Triaje, quiero que el sistema obtenga automáticamente la información de póliza y afiliado del sistema central, para contar con esos datos sin buscarlos manualmente.</t>
  </si>
  <si>
    <t xml:space="preserve">Corresponde a CU-024. Parte de la división de US-019. Beneficio principal: Reduce tiempos de atención.</t>
  </si>
  <si>
    <t xml:space="preserve">Dado que se registra un caso, cuando el sistema consulta la información de póliza y afiliado, entonces la incorpora al expediente del caso dentro del tiempo máximo definido para ese sistema. Dado que la consulta no responde a tiempo, entonces el sistema registra el fallo, marca el dato con confiabilidad baja y continúa el flujo.</t>
  </si>
  <si>
    <t xml:space="preserve">Indicador de estado de la fuente (disponible, con fallo, en progreso).</t>
  </si>
  <si>
    <t xml:space="preserve">Información insuficientemente estructurada en el sistema de origen puede limitar la consolidación automática. El riesgo técnico asociado se gestiona en el plan de riesgos técnicos del proyecto.</t>
  </si>
  <si>
    <t xml:space="preserve">Consolidación de historial clínico</t>
  </si>
  <si>
    <t xml:space="preserve">Como Analista de Triaje, quiero que el sistema obtenga automáticamente el historial clínico relevante del afiliado, para evaluar el caso con información médica completa.</t>
  </si>
  <si>
    <t xml:space="preserve">Corresponde a CU-025. Parte de la división de US-019. Beneficio principal: Reduce tiempos de atención.</t>
  </si>
  <si>
    <t xml:space="preserve">Dado que se registra un caso, cuando el sistema consulta el historial clínico del afiliado, entonces lo incorpora al expediente del caso dentro del tiempo máximo definido para ese sistema. Dado que la consulta no responde a tiempo, entonces el sistema registra el fallo, marca el dato con confiabilidad baja y continúa el flujo.</t>
  </si>
  <si>
    <t xml:space="preserve">US-026</t>
  </si>
  <si>
    <t xml:space="preserve">Consolidación de correspondencia relacionada</t>
  </si>
  <si>
    <t xml:space="preserve">Como Analista de Triaje, quiero que el sistema recupere automáticamente los correos relevantes asociados al caso, para no tener que buscarlos manualmente en el correo corporativo.</t>
  </si>
  <si>
    <t xml:space="preserve">Corresponde a CU-026. Parte de la división de US-019. Beneficio principal: Mejora la experiencia del usuario.</t>
  </si>
  <si>
    <t xml:space="preserve">Dado que se registra un caso, cuando el sistema busca correspondencia asociada, entonces la incorpora al expediente dentro del tiempo máximo definido para ese sistema. Dado que la consulta falla, entonces el sistema continúa el flujo con los datos disponibles y marca la fuente como no disponible.</t>
  </si>
  <si>
    <t xml:space="preserve">Correspondencia mal clasificada podría no asociarse correctamente al caso.</t>
  </si>
  <si>
    <t xml:space="preserve">US-027</t>
  </si>
  <si>
    <t xml:space="preserve">Consolidación del expediente único del caso</t>
  </si>
  <si>
    <t xml:space="preserve">Como Analista de Triaje, quiero visualizar un expediente único que consolide la información de póliza, historial clínico y correspondencia obtenida automáticamente, para contar con el panorama completo del caso sin navegar múltiples plataformas.</t>
  </si>
  <si>
    <t xml:space="preserve">Corresponde a CU-027. Parte de la división de US-019; agrega el resultado de US-024, US-025 y US-026. Beneficio principal: Reduce tiempos de atención.</t>
  </si>
  <si>
    <t xml:space="preserve">US-024, US-025, US-026</t>
  </si>
  <si>
    <t xml:space="preserve">Dado que todas las fuentes de información respondieron, cuando finaliza la consolidación, entonces el sistema muestra el expediente completo del caso al analista. Dado que alguna fuente no respondió, entonces el sistema muestra el expediente con la información disponible e indica qué fuente falta.</t>
  </si>
  <si>
    <t xml:space="preserve">Vista de expediente único con indicador de estado por cada fuente consolidada.</t>
  </si>
  <si>
    <t xml:space="preserve">Expedientes con información parcial por fuentes externas no disponibles pueden retrasar la evaluación del caso.</t>
  </si>
  <si>
    <t xml:space="preserve">Catálogos de apoyo</t>
  </si>
  <si>
    <t xml:space="preserve">Épicas disponibles</t>
  </si>
  <si>
    <t xml:space="preserve">Uso sugerido</t>
  </si>
  <si>
    <t xml:space="preserve">Observación</t>
  </si>
  <si>
    <t xml:space="preserve">1</t>
  </si>
  <si>
    <t xml:space="preserve">Planificación</t>
  </si>
  <si>
    <t xml:space="preserve">Ajuste los catálogos si el equipo usa otra convención.</t>
  </si>
  <si>
    <t xml:space="preserve">Priorización</t>
  </si>
  <si>
    <t xml:space="preserve">Las listas desplegables principales ya están aplicadas.</t>
  </si>
  <si>
    <t xml:space="preserve">Baja</t>
  </si>
  <si>
    <t xml:space="preserve">Aprobada</t>
  </si>
  <si>
    <t xml:space="preserve">Use puntos de historia relativos, no horas exactas.</t>
  </si>
  <si>
    <t xml:space="preserve">Relacione historias y épicas para evitar pérdida de alcance.</t>
  </si>
  <si>
    <t xml:space="preserve">13</t>
  </si>
</sst>
</file>

<file path=xl/styles.xml><?xml version="1.0" encoding="utf-8"?>
<styleSheet xmlns="http://schemas.openxmlformats.org/spreadsheetml/2006/main">
  <numFmts count="2">
    <numFmt numFmtId="164" formatCode="General"/>
    <numFmt numFmtId="165" formatCode="0%"/>
  </numFmts>
  <fonts count="10">
    <font>
      <sz val="11"/>
      <name val="Calibri"/>
      <family val="0"/>
      <charset val="1"/>
    </font>
    <font>
      <sz val="10"/>
      <name val="Arial"/>
      <family val="0"/>
    </font>
    <font>
      <sz val="10"/>
      <name val="Arial"/>
      <family val="0"/>
    </font>
    <font>
      <sz val="10"/>
      <name val="Arial"/>
      <family val="0"/>
    </font>
    <font>
      <b val="true"/>
      <sz val="16"/>
      <color rgb="FFFFFFFF"/>
      <name val="Calibri"/>
      <family val="0"/>
      <charset val="1"/>
    </font>
    <font>
      <sz val="10"/>
      <color rgb="FF111827"/>
      <name val="Calibri"/>
      <family val="0"/>
      <charset val="1"/>
    </font>
    <font>
      <b val="true"/>
      <sz val="10"/>
      <color rgb="FFFFFFFF"/>
      <name val="Calibri"/>
      <family val="0"/>
      <charset val="1"/>
    </font>
    <font>
      <b val="true"/>
      <sz val="12"/>
      <color rgb="FFFFFFFF"/>
      <name val="Calibri"/>
      <family val="0"/>
      <charset val="1"/>
    </font>
    <font>
      <b val="true"/>
      <sz val="10"/>
      <color rgb="FF111827"/>
      <name val="Calibri"/>
      <family val="0"/>
      <charset val="1"/>
    </font>
    <font>
      <i val="true"/>
      <sz val="10"/>
      <color rgb="FF111827"/>
      <name val="Calibri"/>
      <family val="0"/>
      <charset val="1"/>
    </font>
  </fonts>
  <fills count="10">
    <fill>
      <patternFill patternType="none"/>
    </fill>
    <fill>
      <patternFill patternType="gray125"/>
    </fill>
    <fill>
      <patternFill patternType="solid">
        <fgColor rgb="FF1F2937"/>
        <bgColor rgb="FF111827"/>
      </patternFill>
    </fill>
    <fill>
      <patternFill patternType="solid">
        <fgColor rgb="FF475569"/>
        <bgColor rgb="FF333399"/>
      </patternFill>
    </fill>
    <fill>
      <patternFill patternType="solid">
        <fgColor rgb="FFF8FAFC"/>
        <bgColor rgb="FFFFFFFF"/>
      </patternFill>
    </fill>
    <fill>
      <patternFill patternType="solid">
        <fgColor rgb="FF0F766E"/>
        <bgColor rgb="FF008080"/>
      </patternFill>
    </fill>
    <fill>
      <patternFill patternType="solid">
        <fgColor rgb="FFE7F5F1"/>
        <bgColor rgb="FFEAF2FF"/>
      </patternFill>
    </fill>
    <fill>
      <patternFill patternType="solid">
        <fgColor rgb="FFEAF2FF"/>
        <bgColor rgb="FFE7F5F1"/>
      </patternFill>
    </fill>
    <fill>
      <patternFill patternType="solid">
        <fgColor rgb="FFFEF3C7"/>
        <bgColor rgb="FFF8FAFC"/>
      </patternFill>
    </fill>
    <fill>
      <patternFill patternType="solid">
        <fgColor rgb="FFDCFCE7"/>
        <bgColor rgb="FFE7F5F1"/>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3" borderId="0" xfId="0" applyFont="true" applyBorder="false" applyAlignment="true" applyProtection="false">
      <alignment horizontal="center" vertical="center"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7" fillId="5" borderId="0" xfId="0" applyFont="true" applyBorder="true" applyAlignment="true" applyProtection="false">
      <alignment horizontal="left" vertical="center" textRotation="0" wrapText="true" indent="0" shrinkToFit="false"/>
      <protection locked="true" hidden="false"/>
    </xf>
    <xf numFmtId="164" fontId="8" fillId="6"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8" fillId="6" borderId="0" xfId="0" applyFont="true" applyBorder="true" applyAlignment="true" applyProtection="false">
      <alignment horizontal="general" vertical="top" textRotation="0" wrapText="false" indent="0" shrinkToFit="false"/>
      <protection locked="true" hidden="false"/>
    </xf>
    <xf numFmtId="164" fontId="5" fillId="7" borderId="0" xfId="0" applyFont="true" applyBorder="true" applyAlignment="true" applyProtection="false">
      <alignment horizontal="general" vertical="top" textRotation="0" wrapText="true" indent="0" shrinkToFit="false"/>
      <protection locked="true" hidden="false"/>
    </xf>
    <xf numFmtId="164" fontId="5" fillId="7"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true" applyAlignment="true" applyProtection="false">
      <alignment horizontal="left" vertical="center" textRotation="0" wrapText="true" indent="0" shrinkToFit="false"/>
      <protection locked="true" hidden="false"/>
    </xf>
    <xf numFmtId="164" fontId="9" fillId="8" borderId="0" xfId="0" applyFont="true" applyBorder="true" applyAlignment="true" applyProtection="false">
      <alignment horizontal="general" vertical="top" textRotation="0" wrapText="true" indent="0" shrinkToFit="false"/>
      <protection locked="true" hidden="false"/>
    </xf>
    <xf numFmtId="164" fontId="8" fillId="6" borderId="0" xfId="0" applyFont="true" applyBorder="false" applyAlignment="true" applyProtection="false">
      <alignment horizontal="center" vertical="top" textRotation="0" wrapText="true" indent="0" shrinkToFit="false"/>
      <protection locked="true" hidden="false"/>
    </xf>
    <xf numFmtId="164" fontId="5" fillId="7" borderId="0" xfId="0" applyFont="true" applyBorder="false" applyAlignment="true" applyProtection="false">
      <alignment horizontal="center" vertical="top" textRotation="0" wrapText="true" indent="0" shrinkToFit="false"/>
      <protection locked="true" hidden="false"/>
    </xf>
    <xf numFmtId="165" fontId="5" fillId="9" borderId="0" xfId="0" applyFont="true" applyBorder="false" applyAlignment="true" applyProtection="false">
      <alignment horizontal="center" vertical="top" textRotation="0" wrapText="tru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475569"/>
          <bgColor rgb="FF000000"/>
        </patternFill>
      </fill>
    </dxf>
    <dxf>
      <fill>
        <patternFill patternType="solid">
          <fgColor rgb="FFE7F5F1"/>
          <bgColor rgb="FF000000"/>
        </patternFill>
      </fill>
    </dxf>
    <dxf>
      <fill>
        <patternFill patternType="solid">
          <fgColor rgb="FF111827"/>
          <bgColor rgb="FF000000"/>
        </patternFill>
      </fill>
    </dxf>
    <dxf>
      <fill>
        <patternFill patternType="solid">
          <fgColor rgb="FFFFFFFF"/>
          <bgColor rgb="FF000000"/>
        </patternFill>
      </fill>
    </dxf>
    <dxf>
      <fill>
        <patternFill patternType="solid">
          <fgColor rgb="FFEAF2FF"/>
          <bgColor rgb="FF000000"/>
        </patternFill>
      </fill>
    </dxf>
    <dxf>
      <fill>
        <patternFill patternType="solid">
          <fgColor rgb="FFDCFCE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993366"/>
      <rgbColor rgb="FFFEF3C7"/>
      <rgbColor rgb="FFDCFCE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7F5F1"/>
      <rgbColor rgb="FFEAF2FF"/>
      <rgbColor rgb="FFF8FAFC"/>
      <rgbColor rgb="FF99CCFF"/>
      <rgbColor rgb="FFFF99CC"/>
      <rgbColor rgb="FFCC99FF"/>
      <rgbColor rgb="FFFFCC99"/>
      <rgbColor rgb="FF3366FF"/>
      <rgbColor rgb="FF33CCCC"/>
      <rgbColor rgb="FF99CC00"/>
      <rgbColor rgb="FFFFCC00"/>
      <rgbColor rgb="FFFF9900"/>
      <rgbColor rgb="FFFF6600"/>
      <rgbColor rgb="FF475569"/>
      <rgbColor rgb="FF969696"/>
      <rgbColor rgb="FF003366"/>
      <rgbColor rgb="FF339966"/>
      <rgbColor rgb="FF111827"/>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EpicasTable" displayName="EpicasTable" ref="A18:L28" headerRowCount="1" totalsRowCount="0" totalsRowShown="0">
  <tableColumns count="12">
    <tableColumn id="1" name="Identificador"/>
    <tableColumn id="2" name="Nombre de la épica"/>
    <tableColumn id="3" name="Descripción de alto nivel"/>
    <tableColumn id="4" name="Problema de negocio"/>
    <tableColumn id="5" name="Objetivo de negocio (KPI)"/>
    <tableColumn id="6" name="Actores implicados"/>
    <tableColumn id="7" name="Supuestos y restricciones"/>
    <tableColumn id="8" name="Criterios de éxito"/>
    <tableColumn id="9" name="Historias relacionadas"/>
    <tableColumn id="10" name="Notas adicionales/riesgos"/>
    <tableColumn id="11" name="Estado"/>
    <tableColumn id="12" name="Completitud"/>
  </tableColumns>
</table>
</file>

<file path=xl/tables/table2.xml><?xml version="1.0" encoding="utf-8"?>
<table xmlns="http://schemas.openxmlformats.org/spreadsheetml/2006/main" id="2" name="HistoriasTable" displayName="HistoriasTable" ref="A18:M45" headerRowCount="1" totalsRowCount="0" totalsRowShown="0">
  <tableColumns count="13">
    <tableColumn id="1" name="Identificador"/>
    <tableColumn id="2" name="Título"/>
    <tableColumn id="3" name="Descripción"/>
    <tableColumn id="4" name="Contexto / notas"/>
    <tableColumn id="5" name="Prioridad"/>
    <tableColumn id="6" name="Dependencias"/>
    <tableColumn id="7" name="Estimación"/>
    <tableColumn id="8" name="Criterios de Aceptación"/>
    <tableColumn id="9" name="Notas de diseño / UX"/>
    <tableColumn id="10" name="Riesgos / preocupaciones"/>
    <tableColumn id="11" name="Épica relacionada"/>
    <tableColumn id="12" name="Estado"/>
    <tableColumn id="13" name="Completitud"/>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9.00390625" defaultRowHeight="14.25" zeroHeight="false" outlineLevelRow="0" outlineLevelCol="0"/>
  <cols>
    <col collapsed="false" customWidth="true" hidden="false" outlineLevel="0" max="1" min="1" style="0" width="22"/>
    <col collapsed="false" customWidth="true" hidden="false" outlineLevel="0" max="2" min="2" style="0" width="65"/>
    <col collapsed="false" customWidth="true" hidden="false" outlineLevel="0" max="3" min="3" style="0" width="42"/>
    <col collapsed="false" customWidth="true" hidden="false" outlineLevel="0" max="4" min="4" style="0" width="48"/>
    <col collapsed="false" customWidth="true" hidden="false" outlineLevel="0" max="6" min="5" style="0" width="18"/>
  </cols>
  <sheetData>
    <row r="1" customFormat="false" ht="33.75" hidden="false" customHeight="true" outlineLevel="0" collapsed="false">
      <c r="A1" s="1" t="s">
        <v>0</v>
      </c>
      <c r="B1" s="1"/>
      <c r="C1" s="1"/>
      <c r="D1" s="1"/>
      <c r="E1" s="1"/>
      <c r="F1" s="1"/>
    </row>
    <row r="2" customFormat="false" ht="36" hidden="false" customHeight="true" outlineLevel="0" collapsed="false">
      <c r="A2" s="2" t="s">
        <v>1</v>
      </c>
      <c r="B2" s="2"/>
      <c r="C2" s="2"/>
      <c r="D2" s="2"/>
      <c r="E2" s="2"/>
      <c r="F2" s="2"/>
    </row>
    <row r="3" customFormat="false" ht="14.25" hidden="false" customHeight="false" outlineLevel="0" collapsed="false">
      <c r="A3" s="3"/>
      <c r="B3" s="3"/>
      <c r="C3" s="3"/>
      <c r="D3" s="3"/>
      <c r="E3" s="3"/>
      <c r="F3" s="3"/>
    </row>
    <row r="4" customFormat="false" ht="30" hidden="false" customHeight="true" outlineLevel="0" collapsed="false">
      <c r="A4" s="4" t="s">
        <v>2</v>
      </c>
      <c r="B4" s="4" t="s">
        <v>3</v>
      </c>
      <c r="C4" s="4" t="s">
        <v>4</v>
      </c>
      <c r="D4" s="4" t="s">
        <v>5</v>
      </c>
      <c r="E4" s="3"/>
      <c r="F4" s="3"/>
    </row>
    <row r="5" customFormat="false" ht="38.25" hidden="false" customHeight="true" outlineLevel="0" collapsed="false">
      <c r="A5" s="5" t="s">
        <v>6</v>
      </c>
      <c r="B5" s="5" t="s">
        <v>7</v>
      </c>
      <c r="C5" s="5" t="s">
        <v>8</v>
      </c>
      <c r="D5" s="5" t="s">
        <v>9</v>
      </c>
      <c r="E5" s="3"/>
      <c r="F5" s="3"/>
    </row>
    <row r="6" customFormat="false" ht="51" hidden="false" customHeight="true" outlineLevel="0" collapsed="false">
      <c r="A6" s="5" t="s">
        <v>10</v>
      </c>
      <c r="B6" s="5" t="s">
        <v>11</v>
      </c>
      <c r="C6" s="5" t="s">
        <v>12</v>
      </c>
      <c r="D6" s="5" t="s">
        <v>13</v>
      </c>
      <c r="E6" s="3"/>
      <c r="F6" s="3"/>
    </row>
    <row r="7" customFormat="false" ht="38.25" hidden="false" customHeight="true" outlineLevel="0" collapsed="false">
      <c r="A7" s="5" t="s">
        <v>14</v>
      </c>
      <c r="B7" s="5" t="s">
        <v>15</v>
      </c>
      <c r="C7" s="5" t="s">
        <v>16</v>
      </c>
      <c r="D7" s="5" t="s">
        <v>17</v>
      </c>
      <c r="E7" s="3"/>
      <c r="F7" s="3"/>
    </row>
    <row r="8" customFormat="false" ht="14.25" hidden="false" customHeight="false" outlineLevel="0" collapsed="false">
      <c r="A8" s="3"/>
      <c r="B8" s="3"/>
      <c r="C8" s="3"/>
      <c r="D8" s="3"/>
      <c r="E8" s="3"/>
      <c r="F8" s="3"/>
    </row>
    <row r="9" customFormat="false" ht="14.25" hidden="false" customHeight="false" outlineLevel="0" collapsed="false">
      <c r="A9" s="3"/>
      <c r="B9" s="3"/>
      <c r="C9" s="3"/>
      <c r="D9" s="3"/>
      <c r="E9" s="3"/>
      <c r="F9" s="3"/>
    </row>
    <row r="10" customFormat="false" ht="21.75" hidden="false" customHeight="true" outlineLevel="0" collapsed="false">
      <c r="A10" s="6" t="s">
        <v>18</v>
      </c>
      <c r="B10" s="6"/>
      <c r="C10" s="6"/>
      <c r="D10" s="6"/>
      <c r="E10" s="6"/>
      <c r="F10" s="6"/>
    </row>
    <row r="11" customFormat="false" ht="14.25" hidden="false" customHeight="false" outlineLevel="0" collapsed="false">
      <c r="A11" s="7" t="s">
        <v>19</v>
      </c>
      <c r="B11" s="5" t="s">
        <v>20</v>
      </c>
      <c r="C11" s="3"/>
      <c r="D11" s="3"/>
      <c r="E11" s="3"/>
      <c r="F11" s="3"/>
    </row>
    <row r="12" customFormat="false" ht="25.5" hidden="false" customHeight="true" outlineLevel="0" collapsed="false">
      <c r="A12" s="7" t="s">
        <v>21</v>
      </c>
      <c r="B12" s="5" t="s">
        <v>22</v>
      </c>
      <c r="C12" s="3"/>
      <c r="D12" s="3"/>
      <c r="E12" s="3"/>
      <c r="F12" s="3"/>
    </row>
    <row r="13" customFormat="false" ht="14.25" hidden="false" customHeight="false" outlineLevel="0" collapsed="false">
      <c r="A13" s="7" t="s">
        <v>23</v>
      </c>
      <c r="B13" s="5" t="s">
        <v>24</v>
      </c>
      <c r="C13" s="3"/>
      <c r="D13" s="3"/>
      <c r="E13" s="3"/>
      <c r="F13" s="3"/>
    </row>
    <row r="14" customFormat="false" ht="25.5" hidden="false" customHeight="true" outlineLevel="0" collapsed="false">
      <c r="A14" s="7" t="s">
        <v>25</v>
      </c>
      <c r="B14" s="5" t="s">
        <v>26</v>
      </c>
      <c r="C14" s="3"/>
      <c r="D14" s="3"/>
      <c r="E14" s="3"/>
      <c r="F14" s="3"/>
    </row>
    <row r="15" customFormat="false" ht="25.5" hidden="false" customHeight="true" outlineLevel="0" collapsed="false">
      <c r="A15" s="7" t="s">
        <v>27</v>
      </c>
      <c r="B15" s="5" t="s">
        <v>28</v>
      </c>
      <c r="C15" s="3"/>
      <c r="D15" s="3"/>
      <c r="E15" s="3"/>
      <c r="F15" s="3"/>
    </row>
    <row r="16" customFormat="false" ht="14.25" hidden="false" customHeight="false" outlineLevel="0" collapsed="false">
      <c r="A16" s="3"/>
      <c r="B16" s="3"/>
      <c r="C16" s="3"/>
      <c r="D16" s="3"/>
      <c r="E16" s="3"/>
      <c r="F16" s="3"/>
    </row>
    <row r="17" customFormat="false" ht="14.25" hidden="false" customHeight="false" outlineLevel="0" collapsed="false">
      <c r="A17" s="3"/>
      <c r="B17" s="3"/>
      <c r="C17" s="3"/>
      <c r="D17" s="3"/>
      <c r="E17" s="3"/>
      <c r="F17" s="3"/>
    </row>
    <row r="18" customFormat="false" ht="14.25" hidden="false" customHeight="false" outlineLevel="0" collapsed="false">
      <c r="A18" s="3"/>
      <c r="B18" s="3"/>
      <c r="C18" s="3"/>
      <c r="D18" s="3"/>
      <c r="E18" s="3"/>
      <c r="F18" s="3"/>
    </row>
    <row r="19" customFormat="false" ht="14.25" hidden="false" customHeight="false" outlineLevel="0" collapsed="false">
      <c r="A19" s="3"/>
      <c r="B19" s="3"/>
      <c r="C19" s="3"/>
      <c r="D19" s="3"/>
      <c r="E19" s="3"/>
      <c r="F19" s="3"/>
    </row>
    <row r="20" customFormat="false" ht="14.25" hidden="false" customHeight="false" outlineLevel="0" collapsed="false">
      <c r="A20" s="3"/>
      <c r="B20" s="3"/>
      <c r="C20" s="3"/>
      <c r="D20" s="3"/>
      <c r="E20" s="3"/>
      <c r="F20" s="3"/>
    </row>
  </sheetData>
  <mergeCells count="3">
    <mergeCell ref="A1:F1"/>
    <mergeCell ref="A2:F2"/>
    <mergeCell ref="A10:F1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C7" colorId="64" zoomScale="100" zoomScaleNormal="100" zoomScalePageLayoutView="100" workbookViewId="0">
      <selection pane="topLeft" activeCell="D16" activeCellId="0" sqref="D16"/>
    </sheetView>
  </sheetViews>
  <sheetFormatPr defaultColWidth="9.00390625" defaultRowHeight="14.25" zeroHeight="false" outlineLevelRow="0" outlineLevelCol="0"/>
  <cols>
    <col collapsed="false" customWidth="true" hidden="false" outlineLevel="0" max="1" min="1" style="0" width="22"/>
    <col collapsed="false" customWidth="true" hidden="false" outlineLevel="0" max="2" min="2" style="0" width="46"/>
    <col collapsed="false" customWidth="true" hidden="false" outlineLevel="0" max="3" min="3" style="0" width="48"/>
    <col collapsed="false" customWidth="true" hidden="false" outlineLevel="0" max="4" min="4" style="0" width="55"/>
    <col collapsed="false" customWidth="true" hidden="false" outlineLevel="0" max="6" min="5" style="0" width="14"/>
  </cols>
  <sheetData>
    <row r="1" customFormat="false" ht="33.75" hidden="false" customHeight="true" outlineLevel="0" collapsed="false">
      <c r="A1" s="8" t="s">
        <v>29</v>
      </c>
      <c r="B1" s="8"/>
      <c r="C1" s="8"/>
      <c r="D1" s="8"/>
      <c r="E1" s="8"/>
      <c r="F1" s="8"/>
    </row>
    <row r="2" customFormat="false" ht="33.75" hidden="false" customHeight="true" outlineLevel="0" collapsed="false">
      <c r="A2" s="2" t="s">
        <v>30</v>
      </c>
      <c r="B2" s="2"/>
      <c r="C2" s="2"/>
      <c r="D2" s="2"/>
      <c r="E2" s="2"/>
      <c r="F2" s="2"/>
    </row>
    <row r="3" customFormat="false" ht="14.25" hidden="false" customHeight="false" outlineLevel="0" collapsed="false">
      <c r="A3" s="3"/>
      <c r="B3" s="3"/>
      <c r="C3" s="3"/>
      <c r="D3" s="3"/>
      <c r="E3" s="3"/>
      <c r="F3" s="3"/>
    </row>
    <row r="4" customFormat="false" ht="14.25" hidden="false" customHeight="false" outlineLevel="0" collapsed="false">
      <c r="A4" s="9" t="s">
        <v>31</v>
      </c>
      <c r="B4" s="9"/>
      <c r="C4" s="10"/>
      <c r="D4" s="10"/>
      <c r="E4" s="10"/>
      <c r="F4" s="10"/>
    </row>
    <row r="5" customFormat="false" ht="14.25" hidden="false" customHeight="false" outlineLevel="0" collapsed="false">
      <c r="A5" s="9" t="s">
        <v>32</v>
      </c>
      <c r="B5" s="9"/>
      <c r="C5" s="10"/>
      <c r="D5" s="10"/>
      <c r="E5" s="10"/>
      <c r="F5" s="10"/>
    </row>
    <row r="6" customFormat="false" ht="14.25" hidden="false" customHeight="false" outlineLevel="0" collapsed="false">
      <c r="A6" s="3"/>
      <c r="B6" s="3"/>
      <c r="C6" s="3"/>
      <c r="D6" s="3"/>
      <c r="E6" s="3"/>
      <c r="F6" s="3"/>
    </row>
    <row r="7" customFormat="false" ht="21.75" hidden="false" customHeight="true" outlineLevel="0" collapsed="false">
      <c r="A7" s="6" t="s">
        <v>33</v>
      </c>
      <c r="B7" s="6"/>
      <c r="C7" s="6"/>
      <c r="D7" s="6"/>
      <c r="E7" s="6"/>
      <c r="F7" s="6"/>
    </row>
    <row r="8" customFormat="false" ht="30" hidden="false" customHeight="true" outlineLevel="0" collapsed="false">
      <c r="A8" s="4" t="s">
        <v>34</v>
      </c>
      <c r="B8" s="4" t="s">
        <v>35</v>
      </c>
      <c r="C8" s="4" t="s">
        <v>36</v>
      </c>
      <c r="D8" s="4" t="s">
        <v>37</v>
      </c>
      <c r="E8" s="3"/>
      <c r="F8" s="3"/>
    </row>
    <row r="9" customFormat="false" ht="25.5" hidden="false" customHeight="true" outlineLevel="0" collapsed="false">
      <c r="A9" s="7" t="s">
        <v>38</v>
      </c>
      <c r="B9" s="5" t="s">
        <v>39</v>
      </c>
      <c r="C9" s="5" t="s">
        <v>40</v>
      </c>
      <c r="D9" s="11" t="s">
        <v>41</v>
      </c>
      <c r="E9" s="3"/>
      <c r="F9" s="3"/>
    </row>
    <row r="10" customFormat="false" ht="51" hidden="false" customHeight="true" outlineLevel="0" collapsed="false">
      <c r="A10" s="7" t="s">
        <v>42</v>
      </c>
      <c r="B10" s="5" t="s">
        <v>43</v>
      </c>
      <c r="C10" s="5" t="s">
        <v>44</v>
      </c>
      <c r="D10" s="11" t="s">
        <v>45</v>
      </c>
      <c r="E10" s="3"/>
      <c r="F10" s="3"/>
    </row>
    <row r="11" customFormat="false" ht="14.25" hidden="false" customHeight="false" outlineLevel="0" collapsed="false">
      <c r="A11" s="7" t="s">
        <v>46</v>
      </c>
      <c r="B11" s="5" t="s">
        <v>47</v>
      </c>
      <c r="C11" s="5" t="s">
        <v>48</v>
      </c>
      <c r="D11" s="11" t="s">
        <v>49</v>
      </c>
      <c r="E11" s="3"/>
      <c r="F11" s="3"/>
    </row>
    <row r="12" customFormat="false" ht="25.5" hidden="false" customHeight="true" outlineLevel="0" collapsed="false">
      <c r="A12" s="7" t="s">
        <v>50</v>
      </c>
      <c r="B12" s="5" t="s">
        <v>51</v>
      </c>
      <c r="C12" s="5" t="s">
        <v>52</v>
      </c>
      <c r="D12" s="11" t="s">
        <v>53</v>
      </c>
      <c r="E12" s="3"/>
      <c r="F12" s="3"/>
    </row>
    <row r="13" customFormat="false" ht="51" hidden="false" customHeight="true" outlineLevel="0" collapsed="false">
      <c r="A13" s="7" t="s">
        <v>54</v>
      </c>
      <c r="B13" s="5" t="s">
        <v>55</v>
      </c>
      <c r="C13" s="5" t="s">
        <v>56</v>
      </c>
      <c r="D13" s="11" t="s">
        <v>57</v>
      </c>
      <c r="E13" s="3"/>
      <c r="F13" s="3"/>
    </row>
    <row r="14" customFormat="false" ht="38.25" hidden="false" customHeight="true" outlineLevel="0" collapsed="false">
      <c r="A14" s="7" t="s">
        <v>58</v>
      </c>
      <c r="B14" s="5" t="s">
        <v>59</v>
      </c>
      <c r="C14" s="5" t="s">
        <v>60</v>
      </c>
      <c r="D14" s="11" t="s">
        <v>61</v>
      </c>
      <c r="E14" s="3"/>
      <c r="F14" s="3"/>
    </row>
    <row r="15" customFormat="false" ht="38.25" hidden="false" customHeight="true" outlineLevel="0" collapsed="false">
      <c r="A15" s="7" t="s">
        <v>62</v>
      </c>
      <c r="B15" s="5" t="s">
        <v>63</v>
      </c>
      <c r="C15" s="5" t="s">
        <v>64</v>
      </c>
      <c r="D15" s="11" t="s">
        <v>65</v>
      </c>
      <c r="E15" s="3"/>
      <c r="F15" s="3"/>
    </row>
    <row r="16" customFormat="false" ht="14.25" hidden="false" customHeight="false" outlineLevel="0" collapsed="false">
      <c r="A16" s="3"/>
      <c r="B16" s="3"/>
      <c r="C16" s="3"/>
      <c r="D16" s="3"/>
      <c r="E16" s="3"/>
      <c r="F16" s="3"/>
    </row>
    <row r="17" customFormat="false" ht="21.75" hidden="false" customHeight="true" outlineLevel="0" collapsed="false">
      <c r="A17" s="12" t="s">
        <v>66</v>
      </c>
      <c r="B17" s="12"/>
      <c r="C17" s="12"/>
      <c r="D17" s="12"/>
      <c r="E17" s="12"/>
      <c r="F17" s="12"/>
    </row>
    <row r="18" customFormat="false" ht="60" hidden="false" customHeight="true" outlineLevel="0" collapsed="false">
      <c r="A18" s="13" t="str">
        <f aca="false">IF(D9&amp;D10&amp;D11&amp;D12&amp;D13&amp;D14&amp;D15="","Complete las respuestas para generar la declaración de visión.",_xlfn.CONCAT("Para ",D9,", quienes ",D10,", el ",D11," es ",D12," que ",D13,". A diferencia de ",D14,", nuestro producto ",D15,"."))</f>
        <v>Para Analistas de triaje, supervisores operativos, coordinadores de compliance y directivos de operaciones de la aseguradora de salud., quienes Necesitan gestionar de forma eficiente y trazable un volumen elevado y creciente de Apelaciones, Quejas y Reclamaciones (A&amp;G), actualmente afectado por un proceso manual, lento e inconsistente que incumple los SLAs regulatorios y genera costos operativos crecientes., el STAQ - Sistema de Triaje Inteligente de A&amp;G. es Una plataforma web interna de gestión de casos, con componentes de automatización, integración de datos y soporte a la decisión. que Integra automáticamente información de múltiples canales y sistemas, aplica clasificación asistida por reglas y procesamiento de lenguaje natural, detecta duplicidades y provee visibilidad en tiempo real del estado de los casos.. A diferencia de El proceso actual es mayoritariamente manual con información dispersa entre distintos sistemas y la existencia de una clasificación basada en el criterio individual de cada analista., nuestro producto Reduce a la mitad el tiempo de triaje inicial, garantiza una clasificación consistente (tasa de acierto igual o superior al 90%) y proporciona trazabilidad completa para el cumplimiento regulatorio..</v>
      </c>
      <c r="B18" s="13"/>
      <c r="C18" s="13"/>
      <c r="D18" s="13"/>
      <c r="E18" s="13"/>
      <c r="F18" s="13"/>
    </row>
    <row r="19" customFormat="false" ht="60" hidden="false" customHeight="true" outlineLevel="0" collapsed="false">
      <c r="A19" s="13"/>
      <c r="B19" s="13"/>
      <c r="C19" s="13"/>
      <c r="D19" s="13"/>
      <c r="E19" s="13"/>
      <c r="F19" s="13"/>
    </row>
    <row r="20" customFormat="false" ht="60" hidden="false" customHeight="true" outlineLevel="0" collapsed="false">
      <c r="A20" s="13"/>
      <c r="B20" s="13"/>
      <c r="C20" s="13"/>
      <c r="D20" s="13"/>
      <c r="E20" s="13"/>
      <c r="F20" s="13"/>
    </row>
    <row r="21" customFormat="false" ht="14.25" hidden="false" customHeight="false" outlineLevel="0" collapsed="false">
      <c r="A21" s="3"/>
      <c r="B21" s="3"/>
      <c r="C21" s="3"/>
      <c r="D21" s="3"/>
      <c r="E21" s="3"/>
      <c r="F21" s="3"/>
    </row>
    <row r="22" customFormat="false" ht="21.75" hidden="false" customHeight="true" outlineLevel="0" collapsed="false">
      <c r="A22" s="6" t="s">
        <v>67</v>
      </c>
      <c r="B22" s="6"/>
      <c r="C22" s="6"/>
      <c r="D22" s="6"/>
      <c r="E22" s="6"/>
      <c r="F22" s="6"/>
    </row>
    <row r="23" customFormat="false" ht="30" hidden="false" customHeight="true" outlineLevel="0" collapsed="false">
      <c r="A23" s="4" t="s">
        <v>68</v>
      </c>
      <c r="B23" s="4" t="s">
        <v>69</v>
      </c>
      <c r="C23" s="3"/>
      <c r="D23" s="3"/>
      <c r="E23" s="3"/>
      <c r="F23" s="3"/>
    </row>
    <row r="24" customFormat="false" ht="38.25" hidden="false" customHeight="true" outlineLevel="0" collapsed="false">
      <c r="A24" s="5" t="s">
        <v>70</v>
      </c>
      <c r="B24" s="5" t="s">
        <v>71</v>
      </c>
      <c r="C24" s="3"/>
      <c r="D24" s="3"/>
      <c r="E24" s="3"/>
      <c r="F24" s="3"/>
    </row>
    <row r="25" customFormat="false" ht="38.25" hidden="false" customHeight="true" outlineLevel="0" collapsed="false">
      <c r="A25" s="5" t="s">
        <v>72</v>
      </c>
      <c r="B25" s="5" t="s">
        <v>73</v>
      </c>
      <c r="C25" s="3"/>
      <c r="D25" s="3"/>
      <c r="E25" s="3"/>
      <c r="F25" s="3"/>
    </row>
    <row r="26" customFormat="false" ht="38.25" hidden="false" customHeight="true" outlineLevel="0" collapsed="false">
      <c r="A26" s="5" t="s">
        <v>74</v>
      </c>
      <c r="B26" s="5" t="s">
        <v>75</v>
      </c>
      <c r="C26" s="3"/>
      <c r="D26" s="3"/>
      <c r="E26" s="3"/>
      <c r="F26" s="3"/>
    </row>
  </sheetData>
  <mergeCells count="10">
    <mergeCell ref="A1:F1"/>
    <mergeCell ref="A2:F2"/>
    <mergeCell ref="A4:B4"/>
    <mergeCell ref="C4:F4"/>
    <mergeCell ref="A5:B5"/>
    <mergeCell ref="C5:F5"/>
    <mergeCell ref="A7:F7"/>
    <mergeCell ref="A17:F17"/>
    <mergeCell ref="A18:F20"/>
    <mergeCell ref="A22:F2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8"/>
  <sheetViews>
    <sheetView showFormulas="false" showGridLines="true" showRowColHeaders="true" showZeros="true" rightToLeft="false" tabSelected="true" showOutlineSymbols="true" defaultGridColor="true" view="normal" topLeftCell="H23" colorId="64" zoomScale="100" zoomScaleNormal="100" zoomScalePageLayoutView="100" workbookViewId="0">
      <selection pane="topLeft" activeCell="J25" activeCellId="0" sqref="J25"/>
    </sheetView>
  </sheetViews>
  <sheetFormatPr defaultColWidth="9.00390625" defaultRowHeight="14.2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3" min="3" style="0" width="40"/>
    <col collapsed="false" customWidth="true" hidden="false" outlineLevel="0" max="4" min="4" style="0" width="36"/>
    <col collapsed="false" customWidth="true" hidden="false" outlineLevel="0" max="5" min="5" style="0" width="34"/>
    <col collapsed="false" customWidth="true" hidden="false" outlineLevel="0" max="6" min="6" style="0" width="30"/>
    <col collapsed="false" customWidth="true" hidden="false" outlineLevel="0" max="7" min="7" style="0" width="36"/>
    <col collapsed="false" customWidth="true" hidden="false" outlineLevel="0" max="8" min="8" style="0" width="34"/>
    <col collapsed="false" customWidth="true" hidden="false" outlineLevel="0" max="9" min="9" style="0" width="24"/>
    <col collapsed="false" customWidth="true" hidden="false" outlineLevel="0" max="10" min="10" style="0" width="36"/>
    <col collapsed="false" customWidth="true" hidden="false" outlineLevel="0" max="11" min="11" style="0" width="16"/>
    <col collapsed="false" customWidth="true" hidden="false" outlineLevel="0" max="12" min="12" style="0" width="14"/>
  </cols>
  <sheetData>
    <row r="1" customFormat="false" ht="33.75" hidden="false" customHeight="true" outlineLevel="0" collapsed="false">
      <c r="A1" s="1" t="s">
        <v>76</v>
      </c>
      <c r="B1" s="1"/>
      <c r="C1" s="1"/>
      <c r="D1" s="1"/>
      <c r="E1" s="1"/>
      <c r="F1" s="1"/>
      <c r="G1" s="1"/>
      <c r="H1" s="1"/>
      <c r="I1" s="1"/>
      <c r="J1" s="1"/>
      <c r="K1" s="1"/>
      <c r="L1" s="1"/>
    </row>
    <row r="2" customFormat="false" ht="33.75" hidden="false" customHeight="true" outlineLevel="0" collapsed="false">
      <c r="A2" s="2" t="s">
        <v>77</v>
      </c>
      <c r="B2" s="2"/>
      <c r="C2" s="2"/>
      <c r="D2" s="2"/>
      <c r="E2" s="2"/>
      <c r="F2" s="2"/>
      <c r="G2" s="2"/>
      <c r="H2" s="2"/>
      <c r="I2" s="2"/>
      <c r="J2" s="2"/>
      <c r="K2" s="2"/>
      <c r="L2" s="2"/>
    </row>
    <row r="3" customFormat="false" ht="14.25" hidden="false" customHeight="false" outlineLevel="0" collapsed="false">
      <c r="A3" s="3"/>
      <c r="B3" s="3"/>
      <c r="C3" s="3"/>
      <c r="D3" s="3"/>
      <c r="E3" s="3"/>
      <c r="F3" s="3"/>
      <c r="G3" s="3"/>
      <c r="H3" s="3"/>
      <c r="I3" s="3"/>
      <c r="J3" s="3"/>
      <c r="K3" s="3"/>
      <c r="L3" s="3"/>
    </row>
    <row r="4" customFormat="false" ht="21.75" hidden="false" customHeight="true" outlineLevel="0" collapsed="false">
      <c r="A4" s="6" t="s">
        <v>78</v>
      </c>
      <c r="B4" s="6"/>
      <c r="C4" s="6"/>
      <c r="D4" s="6"/>
      <c r="E4" s="6"/>
      <c r="F4" s="6"/>
      <c r="G4" s="6"/>
      <c r="H4" s="6"/>
      <c r="I4" s="6"/>
      <c r="J4" s="6"/>
      <c r="K4" s="6"/>
      <c r="L4" s="6"/>
    </row>
    <row r="5" customFormat="false" ht="30" hidden="false" customHeight="true" outlineLevel="0" collapsed="false">
      <c r="A5" s="4" t="s">
        <v>34</v>
      </c>
      <c r="B5" s="4" t="s">
        <v>35</v>
      </c>
      <c r="C5" s="4" t="s">
        <v>79</v>
      </c>
      <c r="D5" s="3"/>
      <c r="E5" s="3"/>
      <c r="F5" s="3"/>
      <c r="G5" s="3"/>
      <c r="H5" s="3"/>
      <c r="I5" s="3"/>
      <c r="J5" s="3"/>
      <c r="K5" s="3"/>
      <c r="L5" s="3"/>
    </row>
    <row r="6" customFormat="false" ht="14.25" hidden="false" customHeight="false" outlineLevel="0" collapsed="false">
      <c r="A6" s="7" t="s">
        <v>80</v>
      </c>
      <c r="B6" s="5" t="s">
        <v>81</v>
      </c>
      <c r="C6" s="5" t="s">
        <v>82</v>
      </c>
      <c r="D6" s="3"/>
      <c r="E6" s="3"/>
      <c r="F6" s="3"/>
      <c r="G6" s="3"/>
      <c r="H6" s="3"/>
      <c r="I6" s="3"/>
      <c r="J6" s="3"/>
      <c r="K6" s="3"/>
      <c r="L6" s="3"/>
    </row>
    <row r="7" customFormat="false" ht="25.5" hidden="false" customHeight="true" outlineLevel="0" collapsed="false">
      <c r="A7" s="7" t="s">
        <v>83</v>
      </c>
      <c r="B7" s="5" t="s">
        <v>84</v>
      </c>
      <c r="C7" s="5" t="s">
        <v>85</v>
      </c>
      <c r="D7" s="3"/>
      <c r="E7" s="3"/>
      <c r="F7" s="3"/>
      <c r="G7" s="3"/>
      <c r="H7" s="3"/>
      <c r="I7" s="3"/>
      <c r="J7" s="3"/>
      <c r="K7" s="3"/>
      <c r="L7" s="3"/>
    </row>
    <row r="8" customFormat="false" ht="25.5" hidden="false" customHeight="true" outlineLevel="0" collapsed="false">
      <c r="A8" s="7" t="s">
        <v>86</v>
      </c>
      <c r="B8" s="5" t="s">
        <v>87</v>
      </c>
      <c r="C8" s="5" t="s">
        <v>88</v>
      </c>
      <c r="D8" s="3"/>
      <c r="E8" s="3"/>
      <c r="F8" s="3"/>
      <c r="G8" s="3"/>
      <c r="H8" s="3"/>
      <c r="I8" s="3"/>
      <c r="J8" s="3"/>
      <c r="K8" s="3"/>
      <c r="L8" s="3"/>
    </row>
    <row r="9" customFormat="false" ht="25.5" hidden="false" customHeight="true" outlineLevel="0" collapsed="false">
      <c r="A9" s="7" t="s">
        <v>89</v>
      </c>
      <c r="B9" s="5" t="s">
        <v>90</v>
      </c>
      <c r="C9" s="5" t="s">
        <v>91</v>
      </c>
      <c r="D9" s="3"/>
      <c r="E9" s="3"/>
      <c r="F9" s="3"/>
      <c r="G9" s="3"/>
      <c r="H9" s="3"/>
      <c r="I9" s="3"/>
      <c r="J9" s="3"/>
      <c r="K9" s="3"/>
      <c r="L9" s="3"/>
    </row>
    <row r="10" customFormat="false" ht="25.5" hidden="false" customHeight="true" outlineLevel="0" collapsed="false">
      <c r="A10" s="7" t="s">
        <v>92</v>
      </c>
      <c r="B10" s="5" t="s">
        <v>93</v>
      </c>
      <c r="C10" s="5" t="s">
        <v>94</v>
      </c>
      <c r="D10" s="3"/>
      <c r="E10" s="3"/>
      <c r="F10" s="3"/>
      <c r="G10" s="3"/>
      <c r="H10" s="3"/>
      <c r="I10" s="3"/>
      <c r="J10" s="3"/>
      <c r="K10" s="3"/>
      <c r="L10" s="3"/>
    </row>
    <row r="11" customFormat="false" ht="25.5" hidden="false" customHeight="true" outlineLevel="0" collapsed="false">
      <c r="A11" s="7" t="s">
        <v>95</v>
      </c>
      <c r="B11" s="5" t="s">
        <v>96</v>
      </c>
      <c r="C11" s="5" t="s">
        <v>97</v>
      </c>
      <c r="D11" s="3"/>
      <c r="E11" s="3"/>
      <c r="F11" s="3"/>
      <c r="G11" s="3"/>
      <c r="H11" s="3"/>
      <c r="I11" s="3"/>
      <c r="J11" s="3"/>
      <c r="K11" s="3"/>
      <c r="L11" s="3"/>
    </row>
    <row r="12" customFormat="false" ht="25.5" hidden="false" customHeight="true" outlineLevel="0" collapsed="false">
      <c r="A12" s="7" t="s">
        <v>98</v>
      </c>
      <c r="B12" s="5" t="s">
        <v>99</v>
      </c>
      <c r="C12" s="5" t="s">
        <v>100</v>
      </c>
      <c r="D12" s="3"/>
      <c r="E12" s="3"/>
      <c r="F12" s="3"/>
      <c r="G12" s="3"/>
      <c r="H12" s="3"/>
      <c r="I12" s="3"/>
      <c r="J12" s="3"/>
      <c r="K12" s="3"/>
      <c r="L12" s="3"/>
    </row>
    <row r="13" customFormat="false" ht="25.5" hidden="false" customHeight="true" outlineLevel="0" collapsed="false">
      <c r="A13" s="7" t="s">
        <v>101</v>
      </c>
      <c r="B13" s="5" t="s">
        <v>102</v>
      </c>
      <c r="C13" s="5" t="s">
        <v>103</v>
      </c>
      <c r="D13" s="3"/>
      <c r="E13" s="3"/>
      <c r="F13" s="3"/>
      <c r="G13" s="3"/>
      <c r="H13" s="3"/>
      <c r="I13" s="3"/>
      <c r="J13" s="3"/>
      <c r="K13" s="3"/>
      <c r="L13" s="3"/>
    </row>
    <row r="14" customFormat="false" ht="25.5" hidden="false" customHeight="true" outlineLevel="0" collapsed="false">
      <c r="A14" s="7" t="s">
        <v>104</v>
      </c>
      <c r="B14" s="5" t="s">
        <v>105</v>
      </c>
      <c r="C14" s="5" t="s">
        <v>106</v>
      </c>
      <c r="D14" s="3"/>
      <c r="E14" s="3"/>
      <c r="F14" s="3"/>
      <c r="G14" s="3"/>
      <c r="H14" s="3"/>
      <c r="I14" s="3"/>
      <c r="J14" s="3"/>
      <c r="K14" s="3"/>
      <c r="L14" s="3"/>
    </row>
    <row r="15" customFormat="false" ht="38.25" hidden="false" customHeight="true" outlineLevel="0" collapsed="false">
      <c r="A15" s="7" t="s">
        <v>107</v>
      </c>
      <c r="B15" s="5" t="s">
        <v>108</v>
      </c>
      <c r="C15" s="5" t="s">
        <v>109</v>
      </c>
      <c r="D15" s="3"/>
      <c r="E15" s="3"/>
      <c r="F15" s="3"/>
      <c r="G15" s="3"/>
      <c r="H15" s="3"/>
      <c r="I15" s="3"/>
      <c r="J15" s="3"/>
      <c r="K15" s="3"/>
      <c r="L15" s="3"/>
    </row>
    <row r="16" customFormat="false" ht="14.25" hidden="false" customHeight="false" outlineLevel="0" collapsed="false">
      <c r="A16" s="3"/>
      <c r="B16" s="3"/>
      <c r="C16" s="3"/>
      <c r="D16" s="3"/>
      <c r="E16" s="3"/>
      <c r="F16" s="3"/>
      <c r="G16" s="3"/>
      <c r="H16" s="3"/>
      <c r="I16" s="3"/>
      <c r="J16" s="3"/>
      <c r="K16" s="3"/>
      <c r="L16" s="3"/>
    </row>
    <row r="17" customFormat="false" ht="21.75" hidden="false" customHeight="true" outlineLevel="0" collapsed="false">
      <c r="A17" s="12" t="s">
        <v>110</v>
      </c>
      <c r="B17" s="12"/>
      <c r="C17" s="12"/>
      <c r="D17" s="12"/>
      <c r="E17" s="12"/>
      <c r="F17" s="12"/>
      <c r="G17" s="12"/>
      <c r="H17" s="12"/>
      <c r="I17" s="12"/>
      <c r="J17" s="12"/>
      <c r="K17" s="12"/>
      <c r="L17" s="12"/>
    </row>
    <row r="18" customFormat="false" ht="30" hidden="false" customHeight="true" outlineLevel="0" collapsed="false">
      <c r="A18" s="4" t="s">
        <v>80</v>
      </c>
      <c r="B18" s="4" t="s">
        <v>83</v>
      </c>
      <c r="C18" s="4" t="s">
        <v>86</v>
      </c>
      <c r="D18" s="4" t="s">
        <v>89</v>
      </c>
      <c r="E18" s="4" t="s">
        <v>92</v>
      </c>
      <c r="F18" s="4" t="s">
        <v>95</v>
      </c>
      <c r="G18" s="4" t="s">
        <v>98</v>
      </c>
      <c r="H18" s="4" t="s">
        <v>101</v>
      </c>
      <c r="I18" s="4" t="s">
        <v>104</v>
      </c>
      <c r="J18" s="4" t="s">
        <v>107</v>
      </c>
      <c r="K18" s="4" t="s">
        <v>111</v>
      </c>
      <c r="L18" s="4" t="s">
        <v>112</v>
      </c>
    </row>
    <row r="19" customFormat="false" ht="63.75" hidden="false" customHeight="true" outlineLevel="0" collapsed="false">
      <c r="A19" s="14" t="s">
        <v>113</v>
      </c>
      <c r="B19" s="11" t="s">
        <v>114</v>
      </c>
      <c r="C19" s="11" t="s">
        <v>115</v>
      </c>
      <c r="D19" s="11" t="s">
        <v>116</v>
      </c>
      <c r="E19" s="11" t="s">
        <v>117</v>
      </c>
      <c r="F19" s="11" t="s">
        <v>118</v>
      </c>
      <c r="G19" s="11" t="s">
        <v>119</v>
      </c>
      <c r="H19" s="11" t="s">
        <v>120</v>
      </c>
      <c r="I19" s="11" t="s">
        <v>121</v>
      </c>
      <c r="J19" s="11" t="s">
        <v>122</v>
      </c>
      <c r="K19" s="15" t="s">
        <v>123</v>
      </c>
      <c r="L19" s="16" t="n">
        <f aca="false">IF(A19="","",(IF(B19="",0,1)+IF(C19="",0,1)+IF(D19="",0,1)+IF(E19="",0,1)+IF(F19="",0,1)+IF(G19="",0,1)+IF(H19="",0,1)+IF(I19="",0,1)+IF(J19="",0,1))/9)</f>
        <v>1</v>
      </c>
    </row>
    <row r="20" customFormat="false" ht="89.25" hidden="false" customHeight="true" outlineLevel="0" collapsed="false">
      <c r="A20" s="14" t="s">
        <v>124</v>
      </c>
      <c r="B20" s="11" t="s">
        <v>125</v>
      </c>
      <c r="C20" s="11" t="s">
        <v>126</v>
      </c>
      <c r="D20" s="11" t="s">
        <v>127</v>
      </c>
      <c r="E20" s="11" t="s">
        <v>128</v>
      </c>
      <c r="F20" s="11" t="s">
        <v>129</v>
      </c>
      <c r="G20" s="11" t="s">
        <v>130</v>
      </c>
      <c r="H20" s="11" t="s">
        <v>131</v>
      </c>
      <c r="I20" s="11" t="s">
        <v>132</v>
      </c>
      <c r="J20" s="11" t="s">
        <v>133</v>
      </c>
      <c r="K20" s="15" t="s">
        <v>123</v>
      </c>
      <c r="L20" s="16" t="n">
        <f aca="false">IF(A20="","",(IF(B20="",0,1)+IF(C20="",0,1)+IF(D20="",0,1)+IF(E20="",0,1)+IF(F20="",0,1)+IF(G20="",0,1)+IF(H20="",0,1)+IF(I20="",0,1)+IF(J20="",0,1))/9)</f>
        <v>1</v>
      </c>
    </row>
    <row r="21" customFormat="false" ht="38.25" hidden="false" customHeight="true" outlineLevel="0" collapsed="false">
      <c r="A21" s="14" t="s">
        <v>134</v>
      </c>
      <c r="B21" s="11" t="s">
        <v>135</v>
      </c>
      <c r="C21" s="11" t="s">
        <v>136</v>
      </c>
      <c r="D21" s="11" t="s">
        <v>137</v>
      </c>
      <c r="E21" s="11" t="s">
        <v>138</v>
      </c>
      <c r="F21" s="11" t="s">
        <v>139</v>
      </c>
      <c r="G21" s="11" t="s">
        <v>140</v>
      </c>
      <c r="H21" s="11" t="s">
        <v>141</v>
      </c>
      <c r="I21" s="11" t="s">
        <v>142</v>
      </c>
      <c r="J21" s="11" t="s">
        <v>143</v>
      </c>
      <c r="K21" s="15" t="s">
        <v>123</v>
      </c>
      <c r="L21" s="16" t="n">
        <f aca="false">IF(A21="","",(IF(B21="",0,1)+IF(C21="",0,1)+IF(D21="",0,1)+IF(E21="",0,1)+IF(F21="",0,1)+IF(G21="",0,1)+IF(H21="",0,1)+IF(I21="",0,1)+IF(J21="",0,1))/9)</f>
        <v>1</v>
      </c>
    </row>
    <row r="22" customFormat="false" ht="89.25" hidden="false" customHeight="true" outlineLevel="0" collapsed="false">
      <c r="A22" s="14" t="s">
        <v>144</v>
      </c>
      <c r="B22" s="11" t="s">
        <v>145</v>
      </c>
      <c r="C22" s="11" t="s">
        <v>146</v>
      </c>
      <c r="D22" s="11" t="s">
        <v>147</v>
      </c>
      <c r="E22" s="11" t="s">
        <v>148</v>
      </c>
      <c r="F22" s="11" t="s">
        <v>149</v>
      </c>
      <c r="G22" s="11" t="s">
        <v>150</v>
      </c>
      <c r="H22" s="11" t="s">
        <v>151</v>
      </c>
      <c r="I22" s="11" t="s">
        <v>152</v>
      </c>
      <c r="J22" s="11" t="s">
        <v>153</v>
      </c>
      <c r="K22" s="15" t="s">
        <v>123</v>
      </c>
      <c r="L22" s="16" t="n">
        <f aca="false">IF(A22="","",(IF(B22="",0,1)+IF(C22="",0,1)+IF(D22="",0,1)+IF(E22="",0,1)+IF(F22="",0,1)+IF(G22="",0,1)+IF(H22="",0,1)+IF(I22="",0,1)+IF(J22="",0,1))/9)</f>
        <v>1</v>
      </c>
    </row>
    <row r="23" customFormat="false" ht="38.25" hidden="false" customHeight="true" outlineLevel="0" collapsed="false">
      <c r="A23" s="14" t="s">
        <v>154</v>
      </c>
      <c r="B23" s="11" t="s">
        <v>155</v>
      </c>
      <c r="C23" s="11" t="s">
        <v>156</v>
      </c>
      <c r="D23" s="11" t="s">
        <v>157</v>
      </c>
      <c r="E23" s="11" t="s">
        <v>158</v>
      </c>
      <c r="F23" s="11" t="s">
        <v>159</v>
      </c>
      <c r="G23" s="11" t="s">
        <v>160</v>
      </c>
      <c r="H23" s="11" t="s">
        <v>161</v>
      </c>
      <c r="I23" s="11" t="s">
        <v>162</v>
      </c>
      <c r="J23" s="11" t="s">
        <v>163</v>
      </c>
      <c r="K23" s="15" t="s">
        <v>123</v>
      </c>
      <c r="L23" s="16" t="n">
        <f aca="false">IF(A23="","",(IF(B23="",0,1)+IF(C23="",0,1)+IF(D23="",0,1)+IF(E23="",0,1)+IF(F23="",0,1)+IF(G23="",0,1)+IF(H23="",0,1)+IF(I23="",0,1)+IF(J23="",0,1))/9)</f>
        <v>1</v>
      </c>
    </row>
    <row r="24" customFormat="false" ht="51" hidden="false" customHeight="true" outlineLevel="0" collapsed="false">
      <c r="A24" s="14" t="s">
        <v>164</v>
      </c>
      <c r="B24" s="11" t="s">
        <v>165</v>
      </c>
      <c r="C24" s="11" t="s">
        <v>166</v>
      </c>
      <c r="D24" s="11" t="s">
        <v>167</v>
      </c>
      <c r="E24" s="11" t="s">
        <v>168</v>
      </c>
      <c r="F24" s="11" t="s">
        <v>169</v>
      </c>
      <c r="G24" s="11" t="s">
        <v>170</v>
      </c>
      <c r="H24" s="11" t="s">
        <v>171</v>
      </c>
      <c r="I24" s="11" t="s">
        <v>172</v>
      </c>
      <c r="J24" s="11" t="s">
        <v>173</v>
      </c>
      <c r="K24" s="15" t="s">
        <v>123</v>
      </c>
      <c r="L24" s="16" t="n">
        <f aca="false">IF(A24="","",(IF(B24="",0,1)+IF(C24="",0,1)+IF(D24="",0,1)+IF(E24="",0,1)+IF(F24="",0,1)+IF(G24="",0,1)+IF(H24="",0,1)+IF(I24="",0,1)+IF(J24="",0,1))/9)</f>
        <v>1</v>
      </c>
    </row>
    <row r="25" customFormat="false" ht="51" hidden="false" customHeight="true" outlineLevel="0" collapsed="false">
      <c r="A25" s="14" t="s">
        <v>174</v>
      </c>
      <c r="B25" s="11" t="s">
        <v>175</v>
      </c>
      <c r="C25" s="11" t="s">
        <v>176</v>
      </c>
      <c r="D25" s="11" t="s">
        <v>177</v>
      </c>
      <c r="E25" s="11" t="s">
        <v>178</v>
      </c>
      <c r="F25" s="11" t="s">
        <v>179</v>
      </c>
      <c r="G25" s="11" t="s">
        <v>180</v>
      </c>
      <c r="H25" s="11" t="s">
        <v>181</v>
      </c>
      <c r="I25" s="11" t="s">
        <v>182</v>
      </c>
      <c r="J25" s="11" t="s">
        <v>183</v>
      </c>
      <c r="K25" s="15" t="s">
        <v>123</v>
      </c>
      <c r="L25" s="16" t="n">
        <f aca="false">IF(A25="","",(IF(B25="",0,1)+IF(C25="",0,1)+IF(D25="",0,1)+IF(E25="",0,1)+IF(F25="",0,1)+IF(G25="",0,1)+IF(H25="",0,1)+IF(I25="",0,1)+IF(J25="",0,1))/9)</f>
        <v>1</v>
      </c>
    </row>
    <row r="26" customFormat="false" ht="51" hidden="false" customHeight="true" outlineLevel="0" collapsed="false">
      <c r="A26" s="14" t="s">
        <v>184</v>
      </c>
      <c r="B26" s="11" t="s">
        <v>185</v>
      </c>
      <c r="C26" s="11" t="s">
        <v>186</v>
      </c>
      <c r="D26" s="11" t="s">
        <v>187</v>
      </c>
      <c r="E26" s="11" t="s">
        <v>188</v>
      </c>
      <c r="F26" s="11" t="s">
        <v>189</v>
      </c>
      <c r="G26" s="11" t="s">
        <v>190</v>
      </c>
      <c r="H26" s="11" t="s">
        <v>191</v>
      </c>
      <c r="I26" s="11" t="s">
        <v>192</v>
      </c>
      <c r="J26" s="11" t="s">
        <v>193</v>
      </c>
      <c r="K26" s="15" t="s">
        <v>123</v>
      </c>
      <c r="L26" s="16" t="n">
        <f aca="false">IF(A26="","",(IF(B26="",0,1)+IF(C26="",0,1)+IF(D26="",0,1)+IF(E26="",0,1)+IF(F26="",0,1)+IF(G26="",0,1)+IF(H26="",0,1)+IF(I26="",0,1)+IF(J26="",0,1))/9)</f>
        <v>1</v>
      </c>
    </row>
    <row r="27" customFormat="false" ht="76.5" hidden="false" customHeight="true" outlineLevel="0" collapsed="false">
      <c r="A27" s="14" t="s">
        <v>194</v>
      </c>
      <c r="B27" s="11" t="s">
        <v>195</v>
      </c>
      <c r="C27" s="11" t="s">
        <v>196</v>
      </c>
      <c r="D27" s="11" t="s">
        <v>197</v>
      </c>
      <c r="E27" s="11" t="s">
        <v>198</v>
      </c>
      <c r="F27" s="11" t="s">
        <v>199</v>
      </c>
      <c r="G27" s="11" t="s">
        <v>200</v>
      </c>
      <c r="H27" s="11" t="s">
        <v>201</v>
      </c>
      <c r="I27" s="11" t="s">
        <v>202</v>
      </c>
      <c r="J27" s="11" t="s">
        <v>203</v>
      </c>
      <c r="K27" s="15" t="s">
        <v>123</v>
      </c>
      <c r="L27" s="16" t="n">
        <f aca="false">IF(A27="","",(IF(B27="",0,1)+IF(C27="",0,1)+IF(D27="",0,1)+IF(E27="",0,1)+IF(F27="",0,1)+IF(G27="",0,1)+IF(H27="",0,1)+IF(I27="",0,1)+IF(J27="",0,1))/9)</f>
        <v>1</v>
      </c>
    </row>
    <row r="28" customFormat="false" ht="76.5" hidden="false" customHeight="true" outlineLevel="0" collapsed="false">
      <c r="A28" s="14" t="s">
        <v>204</v>
      </c>
      <c r="B28" s="11" t="s">
        <v>205</v>
      </c>
      <c r="C28" s="11" t="s">
        <v>206</v>
      </c>
      <c r="D28" s="11" t="s">
        <v>207</v>
      </c>
      <c r="E28" s="11" t="s">
        <v>208</v>
      </c>
      <c r="F28" s="11" t="s">
        <v>209</v>
      </c>
      <c r="G28" s="11" t="s">
        <v>210</v>
      </c>
      <c r="H28" s="11" t="s">
        <v>211</v>
      </c>
      <c r="I28" s="11" t="s">
        <v>212</v>
      </c>
      <c r="J28" s="11" t="s">
        <v>213</v>
      </c>
      <c r="K28" s="15" t="s">
        <v>123</v>
      </c>
      <c r="L28" s="16" t="n">
        <f aca="false">IF(A28="","",(IF(B28="",0,1)+IF(C28="",0,1)+IF(D28="",0,1)+IF(E28="",0,1)+IF(F28="",0,1)+IF(G28="",0,1)+IF(H28="",0,1)+IF(I28="",0,1)+IF(J28="",0,1))/9)</f>
        <v>1</v>
      </c>
    </row>
  </sheetData>
  <mergeCells count="4">
    <mergeCell ref="A1:L1"/>
    <mergeCell ref="A2:L2"/>
    <mergeCell ref="A4:L4"/>
    <mergeCell ref="A17:L17"/>
  </mergeCells>
  <conditionalFormatting sqref="L19:L28">
    <cfRule type="dataBar" priority="2">
      <dataBar showValue="1" minLength="10" maxLength="90">
        <cfvo type="min" val="0"/>
        <cfvo type="max" val="0"/>
        <color rgb="FF0F766E"/>
      </dataBar>
      <extLst>
        <ext xmlns:x14="http://schemas.microsoft.com/office/spreadsheetml/2009/9/main" uri="{B025F937-C7B1-47D3-B67F-A62EFF666E3E}">
          <x14:id>{14CB42AC-C1F4-4B90-9393-53F736B4BD84}</x14:id>
        </ext>
      </extLst>
    </cfRule>
    <cfRule type="dataBar" priority="3">
      <dataBar showValue="1" minLength="10" maxLength="90">
        <cfvo type="min" val="0"/>
        <cfvo type="max" val="0"/>
        <color rgb="FF0F766E"/>
      </dataBar>
      <extLst>
        <ext xmlns:x14="http://schemas.microsoft.com/office/spreadsheetml/2009/9/main" uri="{B025F937-C7B1-47D3-B67F-A62EFF666E3E}">
          <x14:id>{1C4ED771-118C-4CD1-8A72-E1DA9F4F9AA8}</x14:id>
        </ext>
      </extLst>
    </cfRule>
  </conditionalFormatting>
  <dataValidations count="1">
    <dataValidation allowBlank="false" errorStyle="stop" operator="between" showDropDown="false" showErrorMessage="false" showInputMessage="false" sqref="K19:K28" type="list">
      <formula1>"Borrador,Revisada,Aprobada,Descartada"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14CB42AC-C1F4-4B90-9393-53F736B4BD84}">
            <x14:dataBar minLength="10" maxLength="90" axisPosition="none" gradient="true">
              <x14:cfvo type="min"/>
              <x14:cfvo type="max"/>
              <x14:negativeFillColor rgb="FF0F766E"/>
              <x14:axisColor rgb="FF000000"/>
            </x14:dataBar>
          </x14:cfRule>
          <x14:cfRule type="dataBar" id="{1C4ED771-118C-4CD1-8A72-E1DA9F4F9AA8}">
            <x14:dataBar minLength="10" maxLength="90" axisPosition="none" gradient="true">
              <x14:cfvo type="min"/>
              <x14:cfvo type="max"/>
              <x14:negativeFillColor rgb="FF0F766E"/>
              <x14:axisColor rgb="FF000000"/>
            </x14:dataBar>
          </x14:cfRule>
          <xm:sqref>L19:L28</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5"/>
  <sheetViews>
    <sheetView showFormulas="false" showGridLines="true" showRowColHeaders="true" showZeros="true" rightToLeft="false" tabSelected="false" showOutlineSymbols="true" defaultGridColor="true" view="normal" topLeftCell="A40" colorId="64" zoomScale="100" zoomScaleNormal="100" zoomScalePageLayoutView="100" workbookViewId="0">
      <selection pane="topLeft" activeCell="G19" activeCellId="0" sqref="G19"/>
    </sheetView>
  </sheetViews>
  <sheetFormatPr defaultColWidth="9.00390625" defaultRowHeight="14.2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45"/>
    <col collapsed="false" customWidth="true" hidden="false" outlineLevel="0" max="4" min="4" style="0" width="36"/>
    <col collapsed="false" customWidth="true" hidden="false" outlineLevel="0" max="5" min="5" style="0" width="14"/>
    <col collapsed="false" customWidth="true" hidden="false" outlineLevel="0" max="6" min="6" style="0" width="30"/>
    <col collapsed="false" customWidth="true" hidden="false" outlineLevel="0" max="7" min="7" style="0" width="14"/>
    <col collapsed="false" customWidth="true" hidden="false" outlineLevel="0" max="8" min="8" style="0" width="45"/>
    <col collapsed="false" customWidth="true" hidden="false" outlineLevel="0" max="9" min="9" style="0" width="34"/>
    <col collapsed="false" customWidth="true" hidden="false" outlineLevel="0" max="10" min="10" style="0" width="36"/>
    <col collapsed="false" customWidth="true" hidden="false" outlineLevel="0" max="11" min="11" style="0" width="18"/>
    <col collapsed="false" customWidth="true" hidden="false" outlineLevel="0" max="12" min="12" style="0" width="16"/>
    <col collapsed="false" customWidth="true" hidden="false" outlineLevel="0" max="13" min="13" style="0" width="14"/>
  </cols>
  <sheetData>
    <row r="1" customFormat="false" ht="33.75" hidden="false" customHeight="true" outlineLevel="0" collapsed="false">
      <c r="A1" s="1" t="s">
        <v>214</v>
      </c>
      <c r="B1" s="1"/>
      <c r="C1" s="1"/>
      <c r="D1" s="1"/>
      <c r="E1" s="1"/>
      <c r="F1" s="1"/>
      <c r="G1" s="1"/>
      <c r="H1" s="1"/>
      <c r="I1" s="1"/>
      <c r="J1" s="1"/>
      <c r="K1" s="1"/>
      <c r="L1" s="1"/>
      <c r="M1" s="1"/>
    </row>
    <row r="2" customFormat="false" ht="33.75" hidden="false" customHeight="true" outlineLevel="0" collapsed="false">
      <c r="A2" s="2" t="s">
        <v>215</v>
      </c>
      <c r="B2" s="2"/>
      <c r="C2" s="2"/>
      <c r="D2" s="2"/>
      <c r="E2" s="2"/>
      <c r="F2" s="2"/>
      <c r="G2" s="2"/>
      <c r="H2" s="2"/>
      <c r="I2" s="2"/>
      <c r="J2" s="2"/>
      <c r="K2" s="2"/>
      <c r="L2" s="2"/>
      <c r="M2" s="2"/>
    </row>
    <row r="3" customFormat="false" ht="14.25" hidden="false" customHeight="false" outlineLevel="0" collapsed="false">
      <c r="A3" s="3"/>
      <c r="B3" s="3"/>
      <c r="C3" s="3"/>
      <c r="D3" s="3"/>
      <c r="E3" s="3"/>
      <c r="F3" s="3"/>
      <c r="G3" s="3"/>
      <c r="H3" s="3"/>
      <c r="I3" s="3"/>
      <c r="J3" s="3"/>
      <c r="K3" s="3"/>
      <c r="L3" s="3"/>
      <c r="M3" s="3"/>
    </row>
    <row r="4" customFormat="false" ht="21.75" hidden="false" customHeight="true" outlineLevel="0" collapsed="false">
      <c r="A4" s="6" t="s">
        <v>78</v>
      </c>
      <c r="B4" s="6"/>
      <c r="C4" s="6"/>
      <c r="D4" s="6"/>
      <c r="E4" s="6"/>
      <c r="F4" s="6"/>
      <c r="G4" s="6"/>
      <c r="H4" s="6"/>
      <c r="I4" s="6"/>
      <c r="J4" s="6"/>
      <c r="K4" s="6"/>
      <c r="L4" s="6"/>
      <c r="M4" s="6"/>
    </row>
    <row r="5" customFormat="false" ht="30" hidden="false" customHeight="true" outlineLevel="0" collapsed="false">
      <c r="A5" s="4" t="s">
        <v>34</v>
      </c>
      <c r="B5" s="4" t="s">
        <v>35</v>
      </c>
      <c r="C5" s="4" t="s">
        <v>79</v>
      </c>
      <c r="D5" s="3"/>
      <c r="E5" s="3"/>
      <c r="F5" s="3"/>
      <c r="G5" s="3"/>
      <c r="H5" s="3"/>
      <c r="I5" s="3"/>
      <c r="J5" s="3"/>
      <c r="K5" s="3"/>
      <c r="L5" s="3"/>
      <c r="M5" s="3"/>
    </row>
    <row r="6" customFormat="false" ht="14.25" hidden="false" customHeight="false" outlineLevel="0" collapsed="false">
      <c r="A6" s="7" t="s">
        <v>80</v>
      </c>
      <c r="B6" s="5" t="s">
        <v>81</v>
      </c>
      <c r="C6" s="5" t="s">
        <v>106</v>
      </c>
      <c r="D6" s="3"/>
      <c r="E6" s="3"/>
      <c r="F6" s="3"/>
      <c r="G6" s="3"/>
      <c r="H6" s="3"/>
      <c r="I6" s="3"/>
      <c r="J6" s="3"/>
      <c r="K6" s="3"/>
      <c r="L6" s="3"/>
      <c r="M6" s="3"/>
    </row>
    <row r="7" customFormat="false" ht="14.25" hidden="false" customHeight="false" outlineLevel="0" collapsed="false">
      <c r="A7" s="7" t="s">
        <v>216</v>
      </c>
      <c r="B7" s="5" t="s">
        <v>217</v>
      </c>
      <c r="C7" s="5" t="s">
        <v>218</v>
      </c>
      <c r="D7" s="3"/>
      <c r="E7" s="3"/>
      <c r="F7" s="3"/>
      <c r="G7" s="3"/>
      <c r="H7" s="3"/>
      <c r="I7" s="3"/>
      <c r="J7" s="3"/>
      <c r="K7" s="3"/>
      <c r="L7" s="3"/>
      <c r="M7" s="3"/>
    </row>
    <row r="8" customFormat="false" ht="25.5" hidden="false" customHeight="true" outlineLevel="0" collapsed="false">
      <c r="A8" s="7" t="s">
        <v>219</v>
      </c>
      <c r="B8" s="5" t="s">
        <v>220</v>
      </c>
      <c r="C8" s="5" t="s">
        <v>221</v>
      </c>
      <c r="D8" s="3"/>
      <c r="E8" s="3"/>
      <c r="F8" s="3"/>
      <c r="G8" s="3"/>
      <c r="H8" s="3"/>
      <c r="I8" s="3"/>
      <c r="J8" s="3"/>
      <c r="K8" s="3"/>
      <c r="L8" s="3"/>
      <c r="M8" s="3"/>
    </row>
    <row r="9" customFormat="false" ht="25.5" hidden="false" customHeight="true" outlineLevel="0" collapsed="false">
      <c r="A9" s="7" t="s">
        <v>222</v>
      </c>
      <c r="B9" s="5" t="s">
        <v>223</v>
      </c>
      <c r="C9" s="5" t="s">
        <v>224</v>
      </c>
      <c r="D9" s="3"/>
      <c r="E9" s="3"/>
      <c r="F9" s="3"/>
      <c r="G9" s="3"/>
      <c r="H9" s="3"/>
      <c r="I9" s="3"/>
      <c r="J9" s="3"/>
      <c r="K9" s="3"/>
      <c r="L9" s="3"/>
      <c r="M9" s="3"/>
    </row>
    <row r="10" customFormat="false" ht="14.25" hidden="false" customHeight="false" outlineLevel="0" collapsed="false">
      <c r="A10" s="7" t="s">
        <v>225</v>
      </c>
      <c r="B10" s="5" t="s">
        <v>226</v>
      </c>
      <c r="C10" s="5" t="s">
        <v>227</v>
      </c>
      <c r="D10" s="3"/>
      <c r="E10" s="3"/>
      <c r="F10" s="3"/>
      <c r="G10" s="3"/>
      <c r="H10" s="3"/>
      <c r="I10" s="3"/>
      <c r="J10" s="3"/>
      <c r="K10" s="3"/>
      <c r="L10" s="3"/>
      <c r="M10" s="3"/>
    </row>
    <row r="11" customFormat="false" ht="25.5" hidden="false" customHeight="true" outlineLevel="0" collapsed="false">
      <c r="A11" s="7" t="s">
        <v>228</v>
      </c>
      <c r="B11" s="5" t="s">
        <v>229</v>
      </c>
      <c r="C11" s="5" t="s">
        <v>230</v>
      </c>
      <c r="D11" s="3"/>
      <c r="E11" s="3"/>
      <c r="F11" s="3"/>
      <c r="G11" s="3"/>
      <c r="H11" s="3"/>
      <c r="I11" s="3"/>
      <c r="J11" s="3"/>
      <c r="K11" s="3"/>
      <c r="L11" s="3"/>
      <c r="M11" s="3"/>
    </row>
    <row r="12" customFormat="false" ht="25.5" hidden="false" customHeight="true" outlineLevel="0" collapsed="false">
      <c r="A12" s="7" t="s">
        <v>231</v>
      </c>
      <c r="B12" s="5" t="s">
        <v>232</v>
      </c>
      <c r="C12" s="5" t="s">
        <v>233</v>
      </c>
      <c r="D12" s="3"/>
      <c r="E12" s="3"/>
      <c r="F12" s="3"/>
      <c r="G12" s="3"/>
      <c r="H12" s="3"/>
      <c r="I12" s="3"/>
      <c r="J12" s="3"/>
      <c r="K12" s="3"/>
      <c r="L12" s="3"/>
      <c r="M12" s="3"/>
    </row>
    <row r="13" customFormat="false" ht="25.5" hidden="false" customHeight="true" outlineLevel="0" collapsed="false">
      <c r="A13" s="7" t="s">
        <v>234</v>
      </c>
      <c r="B13" s="5" t="s">
        <v>235</v>
      </c>
      <c r="C13" s="5" t="s">
        <v>236</v>
      </c>
      <c r="D13" s="3"/>
      <c r="E13" s="3"/>
      <c r="F13" s="3"/>
      <c r="G13" s="3"/>
      <c r="H13" s="3"/>
      <c r="I13" s="3"/>
      <c r="J13" s="3"/>
      <c r="K13" s="3"/>
      <c r="L13" s="3"/>
      <c r="M13" s="3"/>
    </row>
    <row r="14" customFormat="false" ht="25.5" hidden="false" customHeight="true" outlineLevel="0" collapsed="false">
      <c r="A14" s="7" t="s">
        <v>237</v>
      </c>
      <c r="B14" s="5" t="s">
        <v>238</v>
      </c>
      <c r="C14" s="5" t="s">
        <v>239</v>
      </c>
      <c r="D14" s="3"/>
      <c r="E14" s="3"/>
      <c r="F14" s="3"/>
      <c r="G14" s="3"/>
      <c r="H14" s="3"/>
      <c r="I14" s="3"/>
      <c r="J14" s="3"/>
      <c r="K14" s="3"/>
      <c r="L14" s="3"/>
      <c r="M14" s="3"/>
    </row>
    <row r="15" customFormat="false" ht="25.5" hidden="false" customHeight="true" outlineLevel="0" collapsed="false">
      <c r="A15" s="7" t="s">
        <v>240</v>
      </c>
      <c r="B15" s="5" t="s">
        <v>241</v>
      </c>
      <c r="C15" s="5" t="s">
        <v>242</v>
      </c>
      <c r="D15" s="3"/>
      <c r="E15" s="3"/>
      <c r="F15" s="3"/>
      <c r="G15" s="3"/>
      <c r="H15" s="3"/>
      <c r="I15" s="3"/>
      <c r="J15" s="3"/>
      <c r="K15" s="3"/>
      <c r="L15" s="3"/>
      <c r="M15" s="3"/>
    </row>
    <row r="16" customFormat="false" ht="14.25" hidden="false" customHeight="false" outlineLevel="0" collapsed="false">
      <c r="A16" s="3"/>
      <c r="B16" s="3"/>
      <c r="C16" s="3"/>
      <c r="D16" s="3"/>
      <c r="E16" s="3"/>
      <c r="F16" s="3"/>
      <c r="G16" s="3"/>
      <c r="H16" s="3"/>
      <c r="I16" s="3"/>
      <c r="J16" s="3"/>
      <c r="K16" s="3"/>
      <c r="L16" s="3"/>
      <c r="M16" s="3"/>
    </row>
    <row r="17" customFormat="false" ht="21.75" hidden="false" customHeight="true" outlineLevel="0" collapsed="false">
      <c r="A17" s="12" t="s">
        <v>243</v>
      </c>
      <c r="B17" s="12"/>
      <c r="C17" s="12"/>
      <c r="D17" s="12"/>
      <c r="E17" s="12"/>
      <c r="F17" s="12"/>
      <c r="G17" s="12"/>
      <c r="H17" s="12"/>
      <c r="I17" s="12"/>
      <c r="J17" s="12"/>
      <c r="K17" s="12"/>
      <c r="L17" s="12"/>
      <c r="M17" s="12"/>
    </row>
    <row r="18" customFormat="false" ht="30" hidden="false" customHeight="true" outlineLevel="0" collapsed="false">
      <c r="A18" s="4" t="s">
        <v>80</v>
      </c>
      <c r="B18" s="4" t="s">
        <v>216</v>
      </c>
      <c r="C18" s="4" t="s">
        <v>219</v>
      </c>
      <c r="D18" s="4" t="s">
        <v>222</v>
      </c>
      <c r="E18" s="4" t="s">
        <v>225</v>
      </c>
      <c r="F18" s="4" t="s">
        <v>228</v>
      </c>
      <c r="G18" s="4" t="s">
        <v>231</v>
      </c>
      <c r="H18" s="4" t="s">
        <v>234</v>
      </c>
      <c r="I18" s="4" t="s">
        <v>237</v>
      </c>
      <c r="J18" s="4" t="s">
        <v>240</v>
      </c>
      <c r="K18" s="4" t="s">
        <v>244</v>
      </c>
      <c r="L18" s="4" t="s">
        <v>111</v>
      </c>
      <c r="M18" s="4" t="s">
        <v>112</v>
      </c>
    </row>
    <row r="19" customFormat="false" ht="127.5" hidden="false" customHeight="true" outlineLevel="0" collapsed="false">
      <c r="A19" s="14" t="s">
        <v>245</v>
      </c>
      <c r="B19" s="11" t="s">
        <v>246</v>
      </c>
      <c r="C19" s="11" t="s">
        <v>247</v>
      </c>
      <c r="D19" s="11" t="s">
        <v>248</v>
      </c>
      <c r="E19" s="15" t="s">
        <v>249</v>
      </c>
      <c r="F19" s="11" t="s">
        <v>250</v>
      </c>
      <c r="G19" s="15" t="s">
        <v>251</v>
      </c>
      <c r="H19" s="11" t="s">
        <v>252</v>
      </c>
      <c r="I19" s="11" t="s">
        <v>253</v>
      </c>
      <c r="J19" s="11" t="s">
        <v>122</v>
      </c>
      <c r="K19" s="15" t="s">
        <v>113</v>
      </c>
      <c r="L19" s="15" t="s">
        <v>254</v>
      </c>
      <c r="M19" s="16" t="n">
        <f aca="false">IF(A19="","",(IF(B19="",0,1)+IF(C19="",0,1)+IF(D19="",0,1)+IF(E19="",0,1)+IF(F19="",0,1)+IF(G19="",0,1)+IF(H19="",0,1)+IF(I19="",0,1)+IF(J19="",0,1)+IF(K19="",0,1))/10)</f>
        <v>1</v>
      </c>
    </row>
    <row r="20" customFormat="false" ht="114.75" hidden="false" customHeight="true" outlineLevel="0" collapsed="false">
      <c r="A20" s="14" t="s">
        <v>255</v>
      </c>
      <c r="B20" s="11" t="s">
        <v>256</v>
      </c>
      <c r="C20" s="11" t="s">
        <v>257</v>
      </c>
      <c r="D20" s="11" t="s">
        <v>258</v>
      </c>
      <c r="E20" s="15" t="s">
        <v>259</v>
      </c>
      <c r="F20" s="11" t="s">
        <v>245</v>
      </c>
      <c r="G20" s="15" t="s">
        <v>260</v>
      </c>
      <c r="H20" s="11" t="s">
        <v>261</v>
      </c>
      <c r="I20" s="11" t="s">
        <v>262</v>
      </c>
      <c r="J20" s="11" t="s">
        <v>263</v>
      </c>
      <c r="K20" s="15" t="s">
        <v>113</v>
      </c>
      <c r="L20" s="15" t="s">
        <v>254</v>
      </c>
      <c r="M20" s="16" t="n">
        <f aca="false">IF(A20="","",(IF(B20="",0,1)+IF(C20="",0,1)+IF(D20="",0,1)+IF(E20="",0,1)+IF(F20="",0,1)+IF(G20="",0,1)+IF(H20="",0,1)+IF(I20="",0,1)+IF(J20="",0,1)+IF(K20="",0,1))/10)</f>
        <v>1</v>
      </c>
    </row>
    <row r="21" customFormat="false" ht="114.75" hidden="false" customHeight="true" outlineLevel="0" collapsed="false">
      <c r="A21" s="14" t="s">
        <v>264</v>
      </c>
      <c r="B21" s="11" t="s">
        <v>265</v>
      </c>
      <c r="C21" s="11" t="s">
        <v>266</v>
      </c>
      <c r="D21" s="11" t="s">
        <v>267</v>
      </c>
      <c r="E21" s="15" t="s">
        <v>259</v>
      </c>
      <c r="F21" s="11" t="s">
        <v>255</v>
      </c>
      <c r="G21" s="15" t="s">
        <v>260</v>
      </c>
      <c r="H21" s="11" t="s">
        <v>268</v>
      </c>
      <c r="I21" s="11" t="s">
        <v>269</v>
      </c>
      <c r="J21" s="11" t="s">
        <v>270</v>
      </c>
      <c r="K21" s="15" t="s">
        <v>113</v>
      </c>
      <c r="L21" s="15" t="s">
        <v>254</v>
      </c>
      <c r="M21" s="16" t="n">
        <f aca="false">IF(A21="","",(IF(B21="",0,1)+IF(C21="",0,1)+IF(D21="",0,1)+IF(E21="",0,1)+IF(F21="",0,1)+IF(G21="",0,1)+IF(H21="",0,1)+IF(I21="",0,1)+IF(J21="",0,1)+IF(K21="",0,1))/10)</f>
        <v>1</v>
      </c>
    </row>
    <row r="22" customFormat="false" ht="140.25" hidden="false" customHeight="true" outlineLevel="0" collapsed="false">
      <c r="A22" s="14" t="s">
        <v>271</v>
      </c>
      <c r="B22" s="11" t="s">
        <v>272</v>
      </c>
      <c r="C22" s="11" t="s">
        <v>273</v>
      </c>
      <c r="D22" s="11" t="s">
        <v>274</v>
      </c>
      <c r="E22" s="15" t="s">
        <v>249</v>
      </c>
      <c r="F22" s="11" t="s">
        <v>245</v>
      </c>
      <c r="G22" s="15" t="s">
        <v>275</v>
      </c>
      <c r="H22" s="11" t="s">
        <v>276</v>
      </c>
      <c r="I22" s="11" t="s">
        <v>277</v>
      </c>
      <c r="J22" s="11" t="s">
        <v>278</v>
      </c>
      <c r="K22" s="15" t="s">
        <v>124</v>
      </c>
      <c r="L22" s="15" t="s">
        <v>254</v>
      </c>
      <c r="M22" s="16" t="n">
        <f aca="false">IF(A22="","",(IF(B22="",0,1)+IF(C22="",0,1)+IF(D22="",0,1)+IF(E22="",0,1)+IF(F22="",0,1)+IF(G22="",0,1)+IF(H22="",0,1)+IF(I22="",0,1)+IF(J22="",0,1)+IF(K22="",0,1))/10)</f>
        <v>1</v>
      </c>
    </row>
    <row r="23" customFormat="false" ht="114.75" hidden="false" customHeight="true" outlineLevel="0" collapsed="false">
      <c r="A23" s="14" t="s">
        <v>279</v>
      </c>
      <c r="B23" s="11" t="s">
        <v>280</v>
      </c>
      <c r="C23" s="11" t="s">
        <v>281</v>
      </c>
      <c r="D23" s="11" t="s">
        <v>282</v>
      </c>
      <c r="E23" s="15" t="s">
        <v>249</v>
      </c>
      <c r="F23" s="11" t="s">
        <v>271</v>
      </c>
      <c r="G23" s="15" t="s">
        <v>260</v>
      </c>
      <c r="H23" s="11" t="s">
        <v>283</v>
      </c>
      <c r="I23" s="11" t="s">
        <v>284</v>
      </c>
      <c r="J23" s="11" t="s">
        <v>285</v>
      </c>
      <c r="K23" s="15" t="s">
        <v>124</v>
      </c>
      <c r="L23" s="15" t="s">
        <v>254</v>
      </c>
      <c r="M23" s="16" t="n">
        <f aca="false">IF(A23="","",(IF(B23="",0,1)+IF(C23="",0,1)+IF(D23="",0,1)+IF(E23="",0,1)+IF(F23="",0,1)+IF(G23="",0,1)+IF(H23="",0,1)+IF(I23="",0,1)+IF(J23="",0,1)+IF(K23="",0,1))/10)</f>
        <v>1</v>
      </c>
    </row>
    <row r="24" customFormat="false" ht="114.75" hidden="false" customHeight="true" outlineLevel="0" collapsed="false">
      <c r="A24" s="14" t="s">
        <v>286</v>
      </c>
      <c r="B24" s="11" t="s">
        <v>287</v>
      </c>
      <c r="C24" s="11" t="s">
        <v>288</v>
      </c>
      <c r="D24" s="11" t="s">
        <v>289</v>
      </c>
      <c r="E24" s="15" t="s">
        <v>259</v>
      </c>
      <c r="F24" s="11" t="s">
        <v>279</v>
      </c>
      <c r="G24" s="15" t="s">
        <v>290</v>
      </c>
      <c r="H24" s="11" t="s">
        <v>291</v>
      </c>
      <c r="I24" s="11" t="s">
        <v>292</v>
      </c>
      <c r="J24" s="11" t="s">
        <v>293</v>
      </c>
      <c r="K24" s="15" t="s">
        <v>124</v>
      </c>
      <c r="L24" s="15" t="s">
        <v>254</v>
      </c>
      <c r="M24" s="16" t="n">
        <f aca="false">IF(A24="","",(IF(B24="",0,1)+IF(C24="",0,1)+IF(D24="",0,1)+IF(E24="",0,1)+IF(F24="",0,1)+IF(G24="",0,1)+IF(H24="",0,1)+IF(I24="",0,1)+IF(J24="",0,1)+IF(K24="",0,1))/10)</f>
        <v>1</v>
      </c>
    </row>
    <row r="25" customFormat="false" ht="127.5" hidden="false" customHeight="true" outlineLevel="0" collapsed="false">
      <c r="A25" s="14" t="s">
        <v>142</v>
      </c>
      <c r="B25" s="11" t="s">
        <v>294</v>
      </c>
      <c r="C25" s="11" t="s">
        <v>295</v>
      </c>
      <c r="D25" s="11" t="s">
        <v>296</v>
      </c>
      <c r="E25" s="15" t="s">
        <v>249</v>
      </c>
      <c r="F25" s="11" t="s">
        <v>245</v>
      </c>
      <c r="G25" s="15" t="s">
        <v>275</v>
      </c>
      <c r="H25" s="11" t="s">
        <v>297</v>
      </c>
      <c r="I25" s="11" t="s">
        <v>298</v>
      </c>
      <c r="J25" s="11" t="s">
        <v>299</v>
      </c>
      <c r="K25" s="15" t="s">
        <v>134</v>
      </c>
      <c r="L25" s="15" t="s">
        <v>254</v>
      </c>
      <c r="M25" s="16" t="n">
        <f aca="false">IF(A25="","",(IF(B25="",0,1)+IF(C25="",0,1)+IF(D25="",0,1)+IF(E25="",0,1)+IF(F25="",0,1)+IF(G25="",0,1)+IF(H25="",0,1)+IF(I25="",0,1)+IF(J25="",0,1)+IF(K25="",0,1))/10)</f>
        <v>1</v>
      </c>
    </row>
    <row r="26" customFormat="false" ht="114.75" hidden="false" customHeight="true" outlineLevel="0" collapsed="false">
      <c r="A26" s="14" t="s">
        <v>300</v>
      </c>
      <c r="B26" s="11" t="s">
        <v>301</v>
      </c>
      <c r="C26" s="11" t="s">
        <v>302</v>
      </c>
      <c r="D26" s="11" t="s">
        <v>303</v>
      </c>
      <c r="E26" s="15" t="s">
        <v>249</v>
      </c>
      <c r="F26" s="11" t="s">
        <v>279</v>
      </c>
      <c r="G26" s="15" t="s">
        <v>260</v>
      </c>
      <c r="H26" s="11" t="s">
        <v>304</v>
      </c>
      <c r="I26" s="11" t="s">
        <v>305</v>
      </c>
      <c r="J26" s="11" t="s">
        <v>306</v>
      </c>
      <c r="K26" s="15" t="s">
        <v>144</v>
      </c>
      <c r="L26" s="15" t="s">
        <v>254</v>
      </c>
      <c r="M26" s="16" t="n">
        <f aca="false">IF(A26="","",(IF(B26="",0,1)+IF(C26="",0,1)+IF(D26="",0,1)+IF(E26="",0,1)+IF(F26="",0,1)+IF(G26="",0,1)+IF(H26="",0,1)+IF(I26="",0,1)+IF(J26="",0,1)+IF(K26="",0,1))/10)</f>
        <v>1</v>
      </c>
    </row>
    <row r="27" customFormat="false" ht="178.5" hidden="false" customHeight="true" outlineLevel="0" collapsed="false">
      <c r="A27" s="14" t="s">
        <v>307</v>
      </c>
      <c r="B27" s="11" t="s">
        <v>308</v>
      </c>
      <c r="C27" s="11" t="s">
        <v>309</v>
      </c>
      <c r="D27" s="11" t="s">
        <v>310</v>
      </c>
      <c r="E27" s="15" t="s">
        <v>259</v>
      </c>
      <c r="F27" s="11" t="s">
        <v>300</v>
      </c>
      <c r="G27" s="15" t="s">
        <v>260</v>
      </c>
      <c r="H27" s="11" t="s">
        <v>311</v>
      </c>
      <c r="I27" s="11" t="s">
        <v>312</v>
      </c>
      <c r="J27" s="11" t="s">
        <v>313</v>
      </c>
      <c r="K27" s="15" t="s">
        <v>144</v>
      </c>
      <c r="L27" s="15" t="s">
        <v>254</v>
      </c>
      <c r="M27" s="16" t="n">
        <f aca="false">IF(A27="","",(IF(B27="",0,1)+IF(C27="",0,1)+IF(D27="",0,1)+IF(E27="",0,1)+IF(F27="",0,1)+IF(G27="",0,1)+IF(H27="",0,1)+IF(I27="",0,1)+IF(J27="",0,1)+IF(K27="",0,1))/10)</f>
        <v>1</v>
      </c>
    </row>
    <row r="28" customFormat="false" ht="114.75" hidden="false" customHeight="true" outlineLevel="0" collapsed="false">
      <c r="A28" s="14" t="s">
        <v>314</v>
      </c>
      <c r="B28" s="11" t="s">
        <v>315</v>
      </c>
      <c r="C28" s="11" t="s">
        <v>316</v>
      </c>
      <c r="D28" s="11" t="s">
        <v>317</v>
      </c>
      <c r="E28" s="15" t="s">
        <v>249</v>
      </c>
      <c r="F28" s="11" t="s">
        <v>245</v>
      </c>
      <c r="G28" s="15" t="s">
        <v>260</v>
      </c>
      <c r="H28" s="11" t="s">
        <v>318</v>
      </c>
      <c r="I28" s="11" t="s">
        <v>319</v>
      </c>
      <c r="J28" s="11" t="s">
        <v>320</v>
      </c>
      <c r="K28" s="15" t="s">
        <v>154</v>
      </c>
      <c r="L28" s="15" t="s">
        <v>254</v>
      </c>
      <c r="M28" s="16" t="n">
        <f aca="false">IF(A28="","",(IF(B28="",0,1)+IF(C28="",0,1)+IF(D28="",0,1)+IF(E28="",0,1)+IF(F28="",0,1)+IF(G28="",0,1)+IF(H28="",0,1)+IF(I28="",0,1)+IF(J28="",0,1)+IF(K28="",0,1))/10)</f>
        <v>1</v>
      </c>
    </row>
    <row r="29" customFormat="false" ht="102" hidden="false" customHeight="true" outlineLevel="0" collapsed="false">
      <c r="A29" s="14" t="s">
        <v>321</v>
      </c>
      <c r="B29" s="11" t="s">
        <v>322</v>
      </c>
      <c r="C29" s="11" t="s">
        <v>323</v>
      </c>
      <c r="D29" s="11" t="s">
        <v>324</v>
      </c>
      <c r="E29" s="15" t="s">
        <v>259</v>
      </c>
      <c r="F29" s="11" t="s">
        <v>314</v>
      </c>
      <c r="G29" s="15" t="s">
        <v>251</v>
      </c>
      <c r="H29" s="11" t="s">
        <v>325</v>
      </c>
      <c r="I29" s="11" t="s">
        <v>326</v>
      </c>
      <c r="J29" s="11" t="s">
        <v>327</v>
      </c>
      <c r="K29" s="15" t="s">
        <v>154</v>
      </c>
      <c r="L29" s="15" t="s">
        <v>254</v>
      </c>
      <c r="M29" s="16" t="n">
        <f aca="false">IF(A29="","",(IF(B29="",0,1)+IF(C29="",0,1)+IF(D29="",0,1)+IF(E29="",0,1)+IF(F29="",0,1)+IF(G29="",0,1)+IF(H29="",0,1)+IF(I29="",0,1)+IF(J29="",0,1)+IF(K29="",0,1))/10)</f>
        <v>1</v>
      </c>
    </row>
    <row r="30" customFormat="false" ht="114.75" hidden="false" customHeight="true" outlineLevel="0" collapsed="false">
      <c r="A30" s="14" t="s">
        <v>328</v>
      </c>
      <c r="B30" s="11" t="s">
        <v>329</v>
      </c>
      <c r="C30" s="11" t="s">
        <v>330</v>
      </c>
      <c r="D30" s="11" t="s">
        <v>331</v>
      </c>
      <c r="E30" s="15" t="s">
        <v>249</v>
      </c>
      <c r="F30" s="11" t="s">
        <v>314</v>
      </c>
      <c r="G30" s="15" t="s">
        <v>251</v>
      </c>
      <c r="H30" s="11" t="s">
        <v>332</v>
      </c>
      <c r="I30" s="11" t="s">
        <v>333</v>
      </c>
      <c r="J30" s="11" t="s">
        <v>334</v>
      </c>
      <c r="K30" s="15" t="s">
        <v>164</v>
      </c>
      <c r="L30" s="15" t="s">
        <v>254</v>
      </c>
      <c r="M30" s="16" t="n">
        <f aca="false">IF(A30="","",(IF(B30="",0,1)+IF(C30="",0,1)+IF(D30="",0,1)+IF(E30="",0,1)+IF(F30="",0,1)+IF(G30="",0,1)+IF(H30="",0,1)+IF(I30="",0,1)+IF(J30="",0,1)+IF(K30="",0,1))/10)</f>
        <v>1</v>
      </c>
    </row>
    <row r="31" customFormat="false" ht="114.75" hidden="false" customHeight="true" outlineLevel="0" collapsed="false">
      <c r="A31" s="14" t="s">
        <v>335</v>
      </c>
      <c r="B31" s="11" t="s">
        <v>336</v>
      </c>
      <c r="C31" s="11" t="s">
        <v>337</v>
      </c>
      <c r="D31" s="11" t="s">
        <v>338</v>
      </c>
      <c r="E31" s="15" t="s">
        <v>259</v>
      </c>
      <c r="F31" s="11" t="s">
        <v>264</v>
      </c>
      <c r="G31" s="15" t="s">
        <v>260</v>
      </c>
      <c r="H31" s="11" t="s">
        <v>339</v>
      </c>
      <c r="I31" s="11" t="s">
        <v>340</v>
      </c>
      <c r="J31" s="11" t="s">
        <v>341</v>
      </c>
      <c r="K31" s="15" t="s">
        <v>164</v>
      </c>
      <c r="L31" s="15" t="s">
        <v>254</v>
      </c>
      <c r="M31" s="16" t="n">
        <f aca="false">IF(A31="","",(IF(B31="",0,1)+IF(C31="",0,1)+IF(D31="",0,1)+IF(E31="",0,1)+IF(F31="",0,1)+IF(G31="",0,1)+IF(H31="",0,1)+IF(I31="",0,1)+IF(J31="",0,1)+IF(K31="",0,1))/10)</f>
        <v>1</v>
      </c>
    </row>
    <row r="32" customFormat="false" ht="102" hidden="false" customHeight="true" outlineLevel="0" collapsed="false">
      <c r="A32" s="14" t="s">
        <v>342</v>
      </c>
      <c r="B32" s="11" t="s">
        <v>343</v>
      </c>
      <c r="C32" s="11" t="s">
        <v>344</v>
      </c>
      <c r="D32" s="11" t="s">
        <v>345</v>
      </c>
      <c r="E32" s="15" t="s">
        <v>259</v>
      </c>
      <c r="F32" s="11" t="s">
        <v>245</v>
      </c>
      <c r="G32" s="15" t="s">
        <v>260</v>
      </c>
      <c r="H32" s="11" t="s">
        <v>346</v>
      </c>
      <c r="I32" s="11" t="s">
        <v>347</v>
      </c>
      <c r="J32" s="11" t="s">
        <v>348</v>
      </c>
      <c r="K32" s="15" t="s">
        <v>174</v>
      </c>
      <c r="L32" s="15" t="s">
        <v>254</v>
      </c>
      <c r="M32" s="16" t="n">
        <f aca="false">IF(A32="","",(IF(B32="",0,1)+IF(C32="",0,1)+IF(D32="",0,1)+IF(E32="",0,1)+IF(F32="",0,1)+IF(G32="",0,1)+IF(H32="",0,1)+IF(I32="",0,1)+IF(J32="",0,1)+IF(K32="",0,1))/10)</f>
        <v>1</v>
      </c>
    </row>
    <row r="33" customFormat="false" ht="114.75" hidden="false" customHeight="true" outlineLevel="0" collapsed="false">
      <c r="A33" s="14" t="s">
        <v>349</v>
      </c>
      <c r="B33" s="11" t="s">
        <v>350</v>
      </c>
      <c r="C33" s="11" t="s">
        <v>351</v>
      </c>
      <c r="D33" s="11" t="s">
        <v>352</v>
      </c>
      <c r="E33" s="15" t="s">
        <v>259</v>
      </c>
      <c r="F33" s="11" t="s">
        <v>342</v>
      </c>
      <c r="G33" s="15" t="s">
        <v>251</v>
      </c>
      <c r="H33" s="11" t="s">
        <v>353</v>
      </c>
      <c r="I33" s="11" t="s">
        <v>354</v>
      </c>
      <c r="J33" s="11" t="s">
        <v>355</v>
      </c>
      <c r="K33" s="15" t="s">
        <v>174</v>
      </c>
      <c r="L33" s="15" t="s">
        <v>254</v>
      </c>
      <c r="M33" s="16" t="n">
        <f aca="false">IF(A33="","",(IF(B33="",0,1)+IF(C33="",0,1)+IF(D33="",0,1)+IF(E33="",0,1)+IF(F33="",0,1)+IF(G33="",0,1)+IF(H33="",0,1)+IF(I33="",0,1)+IF(J33="",0,1)+IF(K33="",0,1))/10)</f>
        <v>1</v>
      </c>
    </row>
    <row r="34" customFormat="false" ht="114.75" hidden="false" customHeight="true" outlineLevel="0" collapsed="false">
      <c r="A34" s="14" t="s">
        <v>356</v>
      </c>
      <c r="B34" s="11" t="s">
        <v>357</v>
      </c>
      <c r="C34" s="11" t="s">
        <v>358</v>
      </c>
      <c r="D34" s="11" t="s">
        <v>359</v>
      </c>
      <c r="E34" s="15" t="s">
        <v>259</v>
      </c>
      <c r="F34" s="11" t="s">
        <v>360</v>
      </c>
      <c r="G34" s="15" t="s">
        <v>251</v>
      </c>
      <c r="H34" s="11" t="s">
        <v>361</v>
      </c>
      <c r="I34" s="11" t="s">
        <v>362</v>
      </c>
      <c r="J34" s="11" t="s">
        <v>363</v>
      </c>
      <c r="K34" s="15" t="s">
        <v>184</v>
      </c>
      <c r="L34" s="15" t="s">
        <v>254</v>
      </c>
      <c r="M34" s="16" t="n">
        <f aca="false">IF(A34="","",(IF(B34="",0,1)+IF(C34="",0,1)+IF(D34="",0,1)+IF(E34="",0,1)+IF(F34="",0,1)+IF(G34="",0,1)+IF(H34="",0,1)+IF(I34="",0,1)+IF(J34="",0,1)+IF(K34="",0,1))/10)</f>
        <v>1</v>
      </c>
    </row>
    <row r="35" customFormat="false" ht="63.75" hidden="false" customHeight="true" outlineLevel="0" collapsed="false">
      <c r="A35" s="14" t="s">
        <v>364</v>
      </c>
      <c r="B35" s="11" t="s">
        <v>365</v>
      </c>
      <c r="C35" s="11" t="s">
        <v>366</v>
      </c>
      <c r="D35" s="11" t="s">
        <v>367</v>
      </c>
      <c r="E35" s="15"/>
      <c r="F35" s="11"/>
      <c r="G35" s="15"/>
      <c r="H35" s="11"/>
      <c r="I35" s="11"/>
      <c r="J35" s="11"/>
      <c r="K35" s="15" t="s">
        <v>184</v>
      </c>
      <c r="L35" s="15" t="s">
        <v>368</v>
      </c>
      <c r="M35" s="16" t="n">
        <f aca="false">IF(A35="","",(IF(B35="",0,1)+IF(C35="",0,1)+IF(D35="",0,1)+IF(E35="",0,1)+IF(F35="",0,1)+IF(G35="",0,1)+IF(H35="",0,1)+IF(I35="",0,1)+IF(J35="",0,1)+IF(K35="",0,1))/10)</f>
        <v>0.4</v>
      </c>
    </row>
    <row r="36" customFormat="false" ht="114.75" hidden="false" customHeight="true" outlineLevel="0" collapsed="false">
      <c r="A36" s="14" t="s">
        <v>202</v>
      </c>
      <c r="B36" s="11" t="s">
        <v>369</v>
      </c>
      <c r="C36" s="11" t="s">
        <v>370</v>
      </c>
      <c r="D36" s="11" t="s">
        <v>371</v>
      </c>
      <c r="E36" s="15" t="s">
        <v>249</v>
      </c>
      <c r="F36" s="11" t="s">
        <v>372</v>
      </c>
      <c r="G36" s="15" t="s">
        <v>251</v>
      </c>
      <c r="H36" s="11" t="s">
        <v>373</v>
      </c>
      <c r="I36" s="11" t="s">
        <v>374</v>
      </c>
      <c r="J36" s="11" t="s">
        <v>375</v>
      </c>
      <c r="K36" s="15" t="s">
        <v>194</v>
      </c>
      <c r="L36" s="15" t="s">
        <v>254</v>
      </c>
      <c r="M36" s="16" t="n">
        <f aca="false">IF(A36="","",(IF(B36="",0,1)+IF(C36="",0,1)+IF(D36="",0,1)+IF(E36="",0,1)+IF(F36="",0,1)+IF(G36="",0,1)+IF(H36="",0,1)+IF(I36="",0,1)+IF(J36="",0,1)+IF(K36="",0,1))/10)</f>
        <v>1</v>
      </c>
    </row>
    <row r="37" customFormat="false" ht="51" hidden="false" customHeight="true" outlineLevel="0" collapsed="false">
      <c r="A37" s="14" t="s">
        <v>376</v>
      </c>
      <c r="B37" s="11" t="s">
        <v>377</v>
      </c>
      <c r="C37" s="11" t="s">
        <v>378</v>
      </c>
      <c r="D37" s="11" t="s">
        <v>379</v>
      </c>
      <c r="E37" s="15"/>
      <c r="F37" s="11"/>
      <c r="G37" s="15"/>
      <c r="H37" s="11"/>
      <c r="I37" s="11"/>
      <c r="J37" s="11"/>
      <c r="K37" s="15" t="s">
        <v>204</v>
      </c>
      <c r="L37" s="15" t="s">
        <v>368</v>
      </c>
      <c r="M37" s="16" t="n">
        <f aca="false">IF(A37="","",(IF(B37="",0,1)+IF(C37="",0,1)+IF(D37="",0,1)+IF(E37="",0,1)+IF(F37="",0,1)+IF(G37="",0,1)+IF(H37="",0,1)+IF(I37="",0,1)+IF(J37="",0,1)+IF(K37="",0,1))/10)</f>
        <v>0.4</v>
      </c>
    </row>
    <row r="38" customFormat="false" ht="114.75" hidden="false" customHeight="true" outlineLevel="0" collapsed="false">
      <c r="A38" s="14" t="s">
        <v>380</v>
      </c>
      <c r="B38" s="11" t="s">
        <v>381</v>
      </c>
      <c r="C38" s="11" t="s">
        <v>382</v>
      </c>
      <c r="D38" s="11" t="s">
        <v>383</v>
      </c>
      <c r="E38" s="15" t="s">
        <v>259</v>
      </c>
      <c r="F38" s="11" t="s">
        <v>384</v>
      </c>
      <c r="G38" s="15" t="s">
        <v>251</v>
      </c>
      <c r="H38" s="11" t="s">
        <v>385</v>
      </c>
      <c r="I38" s="11" t="s">
        <v>386</v>
      </c>
      <c r="J38" s="11" t="s">
        <v>387</v>
      </c>
      <c r="K38" s="15" t="s">
        <v>204</v>
      </c>
      <c r="L38" s="15" t="s">
        <v>254</v>
      </c>
      <c r="M38" s="16" t="n">
        <f aca="false">IF(A38="","",(IF(B38="",0,1)+IF(C38="",0,1)+IF(D38="",0,1)+IF(E38="",0,1)+IF(F38="",0,1)+IF(G38="",0,1)+IF(H38="",0,1)+IF(I38="",0,1)+IF(J38="",0,1)+IF(K38="",0,1))/10)</f>
        <v>1</v>
      </c>
    </row>
    <row r="39" customFormat="false" ht="76.5" hidden="false" customHeight="true" outlineLevel="0" collapsed="false">
      <c r="A39" s="14" t="s">
        <v>388</v>
      </c>
      <c r="B39" s="11" t="s">
        <v>389</v>
      </c>
      <c r="C39" s="11" t="s">
        <v>390</v>
      </c>
      <c r="D39" s="11" t="s">
        <v>391</v>
      </c>
      <c r="E39" s="15" t="s">
        <v>259</v>
      </c>
      <c r="F39" s="11" t="s">
        <v>356</v>
      </c>
      <c r="G39" s="15" t="s">
        <v>251</v>
      </c>
      <c r="H39" s="11" t="s">
        <v>392</v>
      </c>
      <c r="I39" s="11" t="s">
        <v>393</v>
      </c>
      <c r="J39" s="11" t="s">
        <v>394</v>
      </c>
      <c r="K39" s="15" t="s">
        <v>184</v>
      </c>
      <c r="L39" s="15" t="s">
        <v>254</v>
      </c>
      <c r="M39" s="16" t="n">
        <f aca="false">IF(A39="","",(IF(B39="",0,1)+IF(C39="",0,1)+IF(D39="",0,1)+IF(E39="",0,1)+IF(F39="",0,1)+IF(G39="",0,1)+IF(H39="",0,1)+IF(I39="",0,1)+IF(J39="",0,1)+IF(K39="",0,1))/10)</f>
        <v>1</v>
      </c>
    </row>
    <row r="40" customFormat="false" ht="102" hidden="false" customHeight="true" outlineLevel="0" collapsed="false">
      <c r="A40" s="14" t="s">
        <v>395</v>
      </c>
      <c r="B40" s="11" t="s">
        <v>396</v>
      </c>
      <c r="C40" s="11" t="s">
        <v>397</v>
      </c>
      <c r="D40" s="11" t="s">
        <v>398</v>
      </c>
      <c r="E40" s="15" t="s">
        <v>249</v>
      </c>
      <c r="F40" s="11" t="s">
        <v>356</v>
      </c>
      <c r="G40" s="15" t="s">
        <v>251</v>
      </c>
      <c r="H40" s="11" t="s">
        <v>399</v>
      </c>
      <c r="I40" s="11" t="s">
        <v>400</v>
      </c>
      <c r="J40" s="11" t="s">
        <v>394</v>
      </c>
      <c r="K40" s="15" t="s">
        <v>184</v>
      </c>
      <c r="L40" s="15" t="s">
        <v>254</v>
      </c>
      <c r="M40" s="16" t="n">
        <f aca="false">IF(A40="","",(IF(B40="",0,1)+IF(C40="",0,1)+IF(D40="",0,1)+IF(E40="",0,1)+IF(F40="",0,1)+IF(G40="",0,1)+IF(H40="",0,1)+IF(I40="",0,1)+IF(J40="",0,1)+IF(K40="",0,1))/10)</f>
        <v>1</v>
      </c>
    </row>
    <row r="41" customFormat="false" ht="76.5" hidden="false" customHeight="true" outlineLevel="0" collapsed="false">
      <c r="A41" s="14" t="s">
        <v>401</v>
      </c>
      <c r="B41" s="11" t="s">
        <v>402</v>
      </c>
      <c r="C41" s="11" t="s">
        <v>403</v>
      </c>
      <c r="D41" s="11" t="s">
        <v>404</v>
      </c>
      <c r="E41" s="15" t="s">
        <v>259</v>
      </c>
      <c r="F41" s="11" t="s">
        <v>405</v>
      </c>
      <c r="G41" s="15" t="s">
        <v>260</v>
      </c>
      <c r="H41" s="11" t="s">
        <v>406</v>
      </c>
      <c r="I41" s="11" t="s">
        <v>407</v>
      </c>
      <c r="J41" s="11" t="s">
        <v>408</v>
      </c>
      <c r="K41" s="15" t="s">
        <v>184</v>
      </c>
      <c r="L41" s="15" t="s">
        <v>254</v>
      </c>
      <c r="M41" s="16" t="n">
        <f aca="false">IF(A41="","",(IF(B41="",0,1)+IF(C41="",0,1)+IF(D41="",0,1)+IF(E41="",0,1)+IF(F41="",0,1)+IF(G41="",0,1)+IF(H41="",0,1)+IF(I41="",0,1)+IF(J41="",0,1)+IF(K41="",0,1))/10)</f>
        <v>1</v>
      </c>
    </row>
    <row r="42" customFormat="false" ht="76.5" hidden="false" customHeight="true" outlineLevel="0" collapsed="false">
      <c r="A42" s="14" t="s">
        <v>409</v>
      </c>
      <c r="B42" s="11" t="s">
        <v>410</v>
      </c>
      <c r="C42" s="11" t="s">
        <v>411</v>
      </c>
      <c r="D42" s="11" t="s">
        <v>412</v>
      </c>
      <c r="E42" s="15" t="s">
        <v>249</v>
      </c>
      <c r="F42" s="11" t="s">
        <v>245</v>
      </c>
      <c r="G42" s="15" t="s">
        <v>260</v>
      </c>
      <c r="H42" s="11" t="s">
        <v>413</v>
      </c>
      <c r="I42" s="11" t="s">
        <v>414</v>
      </c>
      <c r="J42" s="11" t="s">
        <v>415</v>
      </c>
      <c r="K42" s="15" t="s">
        <v>204</v>
      </c>
      <c r="L42" s="15" t="s">
        <v>254</v>
      </c>
      <c r="M42" s="16" t="n">
        <f aca="false">IF(A42="","",(IF(B42="",0,1)+IF(C42="",0,1)+IF(D42="",0,1)+IF(E42="",0,1)+IF(F42="",0,1)+IF(G42="",0,1)+IF(H42="",0,1)+IF(I42="",0,1)+IF(J42="",0,1)+IF(K42="",0,1))/10)</f>
        <v>1</v>
      </c>
    </row>
    <row r="43" customFormat="false" ht="76.5" hidden="false" customHeight="true" outlineLevel="0" collapsed="false">
      <c r="A43" s="14" t="s">
        <v>384</v>
      </c>
      <c r="B43" s="11" t="s">
        <v>416</v>
      </c>
      <c r="C43" s="11" t="s">
        <v>417</v>
      </c>
      <c r="D43" s="11" t="s">
        <v>418</v>
      </c>
      <c r="E43" s="15" t="s">
        <v>249</v>
      </c>
      <c r="F43" s="11" t="s">
        <v>245</v>
      </c>
      <c r="G43" s="15" t="s">
        <v>251</v>
      </c>
      <c r="H43" s="11" t="s">
        <v>419</v>
      </c>
      <c r="I43" s="11" t="s">
        <v>414</v>
      </c>
      <c r="J43" s="11" t="s">
        <v>415</v>
      </c>
      <c r="K43" s="15" t="s">
        <v>204</v>
      </c>
      <c r="L43" s="15" t="s">
        <v>254</v>
      </c>
      <c r="M43" s="16" t="n">
        <f aca="false">IF(A43="","",(IF(B43="",0,1)+IF(C43="",0,1)+IF(D43="",0,1)+IF(E43="",0,1)+IF(F43="",0,1)+IF(G43="",0,1)+IF(H43="",0,1)+IF(I43="",0,1)+IF(J43="",0,1)+IF(K43="",0,1))/10)</f>
        <v>1</v>
      </c>
    </row>
    <row r="44" customFormat="false" ht="76.5" hidden="false" customHeight="true" outlineLevel="0" collapsed="false">
      <c r="A44" s="14" t="s">
        <v>420</v>
      </c>
      <c r="B44" s="11" t="s">
        <v>421</v>
      </c>
      <c r="C44" s="11" t="s">
        <v>422</v>
      </c>
      <c r="D44" s="11" t="s">
        <v>423</v>
      </c>
      <c r="E44" s="15" t="s">
        <v>259</v>
      </c>
      <c r="F44" s="11" t="s">
        <v>245</v>
      </c>
      <c r="G44" s="15" t="s">
        <v>260</v>
      </c>
      <c r="H44" s="11" t="s">
        <v>424</v>
      </c>
      <c r="I44" s="11" t="s">
        <v>414</v>
      </c>
      <c r="J44" s="11" t="s">
        <v>425</v>
      </c>
      <c r="K44" s="15" t="s">
        <v>204</v>
      </c>
      <c r="L44" s="15" t="s">
        <v>254</v>
      </c>
      <c r="M44" s="16" t="n">
        <f aca="false">IF(A44="","",(IF(B44="",0,1)+IF(C44="",0,1)+IF(D44="",0,1)+IF(E44="",0,1)+IF(F44="",0,1)+IF(G44="",0,1)+IF(H44="",0,1)+IF(I44="",0,1)+IF(J44="",0,1)+IF(K44="",0,1))/10)</f>
        <v>1</v>
      </c>
    </row>
    <row r="45" customFormat="false" ht="76.5" hidden="false" customHeight="true" outlineLevel="0" collapsed="false">
      <c r="A45" s="14" t="s">
        <v>426</v>
      </c>
      <c r="B45" s="11" t="s">
        <v>427</v>
      </c>
      <c r="C45" s="11" t="s">
        <v>428</v>
      </c>
      <c r="D45" s="11" t="s">
        <v>429</v>
      </c>
      <c r="E45" s="15" t="s">
        <v>249</v>
      </c>
      <c r="F45" s="11" t="s">
        <v>430</v>
      </c>
      <c r="G45" s="15" t="s">
        <v>251</v>
      </c>
      <c r="H45" s="11" t="s">
        <v>431</v>
      </c>
      <c r="I45" s="11" t="s">
        <v>432</v>
      </c>
      <c r="J45" s="11" t="s">
        <v>433</v>
      </c>
      <c r="K45" s="15" t="s">
        <v>204</v>
      </c>
      <c r="L45" s="15" t="s">
        <v>254</v>
      </c>
      <c r="M45" s="16" t="n">
        <f aca="false">IF(A45="","",(IF(B45="",0,1)+IF(C45="",0,1)+IF(D45="",0,1)+IF(E45="",0,1)+IF(F45="",0,1)+IF(G45="",0,1)+IF(H45="",0,1)+IF(I45="",0,1)+IF(J45="",0,1)+IF(K45="",0,1))/10)</f>
        <v>1</v>
      </c>
    </row>
  </sheetData>
  <mergeCells count="4">
    <mergeCell ref="A1:M1"/>
    <mergeCell ref="A2:M2"/>
    <mergeCell ref="A4:M4"/>
    <mergeCell ref="A17:M17"/>
  </mergeCells>
  <conditionalFormatting sqref="M19:M45">
    <cfRule type="dataBar" priority="2">
      <dataBar showValue="1" minLength="10" maxLength="90">
        <cfvo type="min" val="0"/>
        <cfvo type="max" val="0"/>
        <color rgb="FF0F766E"/>
      </dataBar>
      <extLst>
        <ext xmlns:x14="http://schemas.microsoft.com/office/spreadsheetml/2009/9/main" uri="{B025F937-C7B1-47D3-B67F-A62EFF666E3E}">
          <x14:id>{D71A20B3-DEDC-4549-89D2-B41F8A9F131D}</x14:id>
        </ext>
      </extLst>
    </cfRule>
    <cfRule type="dataBar" priority="3">
      <dataBar showValue="1" minLength="10" maxLength="90">
        <cfvo type="min" val="0"/>
        <cfvo type="max" val="0"/>
        <color rgb="FF0F766E"/>
      </dataBar>
      <extLst>
        <ext xmlns:x14="http://schemas.microsoft.com/office/spreadsheetml/2009/9/main" uri="{B025F937-C7B1-47D3-B67F-A62EFF666E3E}">
          <x14:id>{5557281E-72D5-4130-B280-8793CC740091}</x14:id>
        </ext>
      </extLst>
    </cfRule>
  </conditionalFormatting>
  <dataValidations count="4">
    <dataValidation allowBlank="false" errorStyle="stop" operator="between" showDropDown="false" showErrorMessage="false" showInputMessage="false" sqref="E19:E45" type="list">
      <formula1>"Alta,Media,Baja"</formula1>
      <formula2>0</formula2>
    </dataValidation>
    <dataValidation allowBlank="false" errorStyle="stop" operator="between" showDropDown="false" showErrorMessage="false" showInputMessage="false" sqref="G19:G45" type="list">
      <formula1>"1,2,3,5,8,13"</formula1>
      <formula2>0</formula2>
    </dataValidation>
    <dataValidation allowBlank="false" errorStyle="stop" operator="between" showDropDown="false" showErrorMessage="false" showInputMessage="false" sqref="K19:K45" type="list">
      <formula1>"EP-01,EP-02,EP-03,EP-04,EP-05,EP-06,EP-07,EP-08,EP-09,EP-10"</formula1>
      <formula2>0</formula2>
    </dataValidation>
    <dataValidation allowBlank="false" errorStyle="stop" operator="between" showDropDown="false" showErrorMessage="false" showInputMessage="false" sqref="L19:L45" type="list">
      <formula1>"Borrador,Revisada,Aprobada,Descartada"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D71A20B3-DEDC-4549-89D2-B41F8A9F131D}">
            <x14:dataBar minLength="10" maxLength="90" axisPosition="none" gradient="true">
              <x14:cfvo type="min"/>
              <x14:cfvo type="max"/>
              <x14:negativeFillColor rgb="FF0F766E"/>
              <x14:axisColor rgb="FF000000"/>
            </x14:dataBar>
          </x14:cfRule>
          <x14:cfRule type="dataBar" id="{5557281E-72D5-4130-B280-8793CC740091}">
            <x14:dataBar minLength="10" maxLength="90" axisPosition="none" gradient="true">
              <x14:cfvo type="min"/>
              <x14:cfvo type="max"/>
              <x14:negativeFillColor rgb="FF0F766E"/>
              <x14:axisColor rgb="FF000000"/>
            </x14:dataBar>
          </x14:cfRule>
          <xm:sqref>M19:M45</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9.00390625" defaultRowHeight="14.25" zeroHeight="false" outlineLevelRow="0" outlineLevelCol="0"/>
  <cols>
    <col collapsed="false" customWidth="true" hidden="false" outlineLevel="0" max="3" min="1" style="0" width="18"/>
    <col collapsed="false" customWidth="true" hidden="false" outlineLevel="0" max="5" min="4" style="0" width="22"/>
    <col collapsed="false" customWidth="true" hidden="false" outlineLevel="0" max="6" min="6" style="0" width="55"/>
  </cols>
  <sheetData>
    <row r="1" customFormat="false" ht="33.75" hidden="false" customHeight="true" outlineLevel="0" collapsed="false">
      <c r="A1" s="17" t="s">
        <v>434</v>
      </c>
      <c r="B1" s="17"/>
      <c r="C1" s="17"/>
      <c r="D1" s="17"/>
      <c r="E1" s="17"/>
      <c r="F1" s="17"/>
    </row>
    <row r="2" customFormat="false" ht="14.25" hidden="false" customHeight="false" outlineLevel="0" collapsed="false">
      <c r="A2" s="3"/>
      <c r="B2" s="3"/>
      <c r="C2" s="3"/>
      <c r="D2" s="3"/>
      <c r="E2" s="3"/>
      <c r="F2" s="3"/>
    </row>
    <row r="3" customFormat="false" ht="30" hidden="false" customHeight="true" outlineLevel="0" collapsed="false">
      <c r="A3" s="4" t="s">
        <v>225</v>
      </c>
      <c r="B3" s="4" t="s">
        <v>111</v>
      </c>
      <c r="C3" s="4" t="s">
        <v>231</v>
      </c>
      <c r="D3" s="4" t="s">
        <v>435</v>
      </c>
      <c r="E3" s="4" t="s">
        <v>436</v>
      </c>
      <c r="F3" s="4" t="s">
        <v>437</v>
      </c>
    </row>
    <row r="4" customFormat="false" ht="14.25" hidden="false" customHeight="false" outlineLevel="0" collapsed="false">
      <c r="A4" s="5" t="s">
        <v>249</v>
      </c>
      <c r="B4" s="5" t="s">
        <v>123</v>
      </c>
      <c r="C4" s="5" t="s">
        <v>438</v>
      </c>
      <c r="D4" s="5" t="s">
        <v>113</v>
      </c>
      <c r="E4" s="5" t="s">
        <v>439</v>
      </c>
      <c r="F4" s="5" t="s">
        <v>440</v>
      </c>
    </row>
    <row r="5" customFormat="false" ht="14.25" hidden="false" customHeight="false" outlineLevel="0" collapsed="false">
      <c r="A5" s="5" t="s">
        <v>259</v>
      </c>
      <c r="B5" s="5" t="s">
        <v>254</v>
      </c>
      <c r="C5" s="5" t="s">
        <v>290</v>
      </c>
      <c r="D5" s="5" t="s">
        <v>124</v>
      </c>
      <c r="E5" s="5" t="s">
        <v>441</v>
      </c>
      <c r="F5" s="5" t="s">
        <v>442</v>
      </c>
    </row>
    <row r="6" customFormat="false" ht="14.25" hidden="false" customHeight="false" outlineLevel="0" collapsed="false">
      <c r="A6" s="5" t="s">
        <v>443</v>
      </c>
      <c r="B6" s="5" t="s">
        <v>444</v>
      </c>
      <c r="C6" s="5" t="s">
        <v>260</v>
      </c>
      <c r="D6" s="5" t="s">
        <v>134</v>
      </c>
      <c r="E6" s="5" t="s">
        <v>231</v>
      </c>
      <c r="F6" s="5" t="s">
        <v>445</v>
      </c>
    </row>
    <row r="7" customFormat="false" ht="14.25" hidden="false" customHeight="false" outlineLevel="0" collapsed="false">
      <c r="A7" s="5"/>
      <c r="B7" s="5" t="s">
        <v>368</v>
      </c>
      <c r="C7" s="5" t="s">
        <v>251</v>
      </c>
      <c r="D7" s="5" t="s">
        <v>144</v>
      </c>
      <c r="E7" s="5" t="s">
        <v>21</v>
      </c>
      <c r="F7" s="5" t="s">
        <v>446</v>
      </c>
    </row>
    <row r="8" customFormat="false" ht="14.25" hidden="false" customHeight="false" outlineLevel="0" collapsed="false">
      <c r="A8" s="5"/>
      <c r="B8" s="5"/>
      <c r="C8" s="5" t="s">
        <v>275</v>
      </c>
      <c r="D8" s="5" t="s">
        <v>154</v>
      </c>
      <c r="E8" s="5"/>
      <c r="F8" s="5"/>
    </row>
    <row r="9" customFormat="false" ht="14.25" hidden="false" customHeight="false" outlineLevel="0" collapsed="false">
      <c r="A9" s="5"/>
      <c r="B9" s="5"/>
      <c r="C9" s="5" t="s">
        <v>447</v>
      </c>
      <c r="D9" s="5" t="s">
        <v>164</v>
      </c>
      <c r="E9" s="5"/>
      <c r="F9" s="5"/>
    </row>
    <row r="10" customFormat="false" ht="14.25" hidden="false" customHeight="false" outlineLevel="0" collapsed="false">
      <c r="A10" s="5"/>
      <c r="B10" s="5"/>
      <c r="C10" s="5"/>
      <c r="D10" s="5" t="s">
        <v>174</v>
      </c>
      <c r="E10" s="5"/>
      <c r="F10" s="5"/>
    </row>
    <row r="11" customFormat="false" ht="14.25" hidden="false" customHeight="false" outlineLevel="0" collapsed="false">
      <c r="A11" s="5"/>
      <c r="B11" s="5"/>
      <c r="C11" s="5"/>
      <c r="D11" s="5" t="s">
        <v>184</v>
      </c>
      <c r="E11" s="5"/>
      <c r="F11" s="5"/>
    </row>
    <row r="12" customFormat="false" ht="14.25" hidden="false" customHeight="false" outlineLevel="0" collapsed="false">
      <c r="A12" s="5"/>
      <c r="B12" s="5"/>
      <c r="C12" s="5"/>
      <c r="D12" s="5" t="s">
        <v>194</v>
      </c>
      <c r="E12" s="5"/>
      <c r="F12" s="5"/>
    </row>
    <row r="13" customFormat="false" ht="14.25" hidden="false" customHeight="false" outlineLevel="0" collapsed="false">
      <c r="A13" s="5"/>
      <c r="B13" s="5"/>
      <c r="C13" s="5"/>
      <c r="D13" s="5" t="s">
        <v>204</v>
      </c>
      <c r="E13" s="5"/>
      <c r="F13" s="5"/>
    </row>
  </sheetData>
  <mergeCells count="1">
    <mergeCell ref="A1:F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2026-07-13T05:05:29Z</dcterms:created>
  <dc:creator>openpyxl</dc:creator>
  <dc:description/>
  <dc:language>en-US</dc:language>
  <cp:lastModifiedBy>ALBERTO NICOLAS HERRERA SALINAS</cp:lastModifiedBy>
  <dcterms:modified xsi:type="dcterms:W3CDTF">2026-07-13T05:05:29Z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