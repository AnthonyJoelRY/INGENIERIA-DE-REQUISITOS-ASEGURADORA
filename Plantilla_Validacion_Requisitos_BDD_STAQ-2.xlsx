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0.xml.rels" ContentType="application/vnd.openxmlformats-package.relationships+xml"/>
  <Override PartName="/xl/worksheets/sheet29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Guía BDD" sheetId="2" state="visible" r:id="rId4"/>
    <sheet name="CHK-US-001" sheetId="3" state="visible" r:id="rId5"/>
    <sheet name="CHK-US-002" sheetId="4" state="visible" r:id="rId6"/>
    <sheet name="CHK-US-003" sheetId="5" state="visible" r:id="rId7"/>
    <sheet name="CHK-US-004" sheetId="6" state="visible" r:id="rId8"/>
    <sheet name="CHK-US-005" sheetId="7" state="visible" r:id="rId9"/>
    <sheet name="CHK-US-006" sheetId="8" state="visible" r:id="rId10"/>
    <sheet name="CHK-US-007" sheetId="9" state="visible" r:id="rId11"/>
    <sheet name="CHK-US-008" sheetId="10" state="visible" r:id="rId12"/>
    <sheet name="CHK-US-009" sheetId="11" state="visible" r:id="rId13"/>
    <sheet name="CHK-US-010" sheetId="12" state="visible" r:id="rId14"/>
    <sheet name="CHK-US-011" sheetId="13" state="visible" r:id="rId15"/>
    <sheet name="CHK-US-012" sheetId="14" state="visible" r:id="rId16"/>
    <sheet name="CHK-US-013" sheetId="15" state="visible" r:id="rId17"/>
    <sheet name="CHK-US-014" sheetId="16" state="visible" r:id="rId18"/>
    <sheet name="CHK-US-015" sheetId="17" state="visible" r:id="rId19"/>
    <sheet name="CHK-US-016" sheetId="18" state="visible" r:id="rId20"/>
    <sheet name="CHK-US-018" sheetId="19" state="visible" r:id="rId21"/>
    <sheet name="CHK-US-020" sheetId="20" state="visible" r:id="rId22"/>
    <sheet name="CHK-US-021" sheetId="21" state="visible" r:id="rId23"/>
    <sheet name="CHK-US-022" sheetId="22" state="visible" r:id="rId24"/>
    <sheet name="CHK-US-023" sheetId="23" state="visible" r:id="rId25"/>
    <sheet name="CHK-US-024" sheetId="24" state="visible" r:id="rId26"/>
    <sheet name="CHK-US-025" sheetId="25" state="visible" r:id="rId27"/>
    <sheet name="CHK-US-026" sheetId="26" state="visible" r:id="rId28"/>
    <sheet name="CHK-US-027" sheetId="27" state="visible" r:id="rId29"/>
    <sheet name="CHK-US-017-HIST" sheetId="28" state="visible" r:id="rId30"/>
    <sheet name="CHK-US-019-HIST" sheetId="29" state="visible" r:id="rId31"/>
    <sheet name="Registro de Validación" sheetId="30" state="visible" r:id="rId32"/>
  </sheets>
  <definedNames>
    <definedName function="false" hidden="true" localSheetId="29" name="_xlnm._FilterDatabase" vbProcedure="false">'Registro de Validación'!$B$11:$I$41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<sst xmlns="http://schemas.openxmlformats.org/spreadsheetml/2006/main" count="2774" uniqueCount="311">
  <si>
    <t xml:space="preserve">PLANTILLA DE VALIDACIÓN DE REQUISITOS</t>
  </si>
  <si>
    <t xml:space="preserve">Detección de ambigüedades en User Stories + Criterios de Aceptación BDD (antes de codificar)</t>
  </si>
  <si>
    <t xml:space="preserve">Proyecto / Curso:</t>
  </si>
  <si>
    <t xml:space="preserve">INGENIERIA DE REQUISITOS</t>
  </si>
  <si>
    <t xml:space="preserve">Responsable de validación:</t>
  </si>
  <si>
    <t xml:space="preserve">Anthony Joel Romero Yaguana</t>
  </si>
  <si>
    <t xml:space="preserve">Fecha:</t>
  </si>
  <si>
    <t xml:space="preserve">10/07/2026</t>
  </si>
  <si>
    <t xml:space="preserve">Versión de la plantilla:</t>
  </si>
  <si>
    <t xml:space="preserve">1.0</t>
  </si>
  <si>
    <t xml:space="preserve">Marco de referencia:</t>
  </si>
  <si>
    <t xml:space="preserve">ISO/IEC/IEEE 29148:2018 · BDD (Given–When–Then) · INVEST</t>
  </si>
  <si>
    <t xml:space="preserve">OBJETIVO</t>
  </si>
  <si>
    <t xml:space="preserve">Proporcionar un instrumento estructurado para validar la calidad de las user stories, detectar ambigüedades (semánticas, funcionales, temporales y de alcance) y verificar que cada historia cuente con criterios de aceptación BDD verificables ANTES de iniciar la codificación. Con ello se reduce el retrabajo, se mejora la trazabilidad y se alinea el equipo en torno a un lenguaje común (lenguaje ubicuo).</t>
  </si>
  <si>
    <t xml:space="preserve">CÓMO USAR ESTA PLANTILLA</t>
  </si>
  <si>
    <t xml:space="preserve">1. Checklist Ambigüedades</t>
  </si>
  <si>
    <t xml:space="preserve">Evalúe cada user story frente a los ítems del checklist. Marque el Estado (✓ Cumple / ✗ No cumple / N/A) usando la lista desplegable. Registre hallazgos y la reescritura sugerida.</t>
  </si>
  <si>
    <t xml:space="preserve">2. Guía BDD</t>
  </si>
  <si>
    <t xml:space="preserve">Consulte la guía rápida para redactar criterios de aceptación en formato Given–When–Then. Incluye plantilla, ejemplos correctos/incorrectos y una checklist de calidad de escenarios.</t>
  </si>
  <si>
    <t xml:space="preserve">3. Registro de Validación</t>
  </si>
  <si>
    <t xml:space="preserve">Consolide el veredicto por historia (Aprobada / Aprobada con observaciones / Rechazada). El tablero calcula automáticamente el estado del backlog.</t>
  </si>
  <si>
    <t xml:space="preserve">Regla de oro</t>
  </si>
  <si>
    <t xml:space="preserve">Ninguna historia debe pasar a desarrollo (Definition of Ready) sin: (a) cero ambigüedades críticas y (b) al menos un escenario BDD verificable.</t>
  </si>
  <si>
    <t xml:space="preserve">LEYENDA DE ESTADOS</t>
  </si>
  <si>
    <t xml:space="preserve">✓ Cumple</t>
  </si>
  <si>
    <t xml:space="preserve">El criterio se satisface plenamente.</t>
  </si>
  <si>
    <t xml:space="preserve">✗ No cumple</t>
  </si>
  <si>
    <t xml:space="preserve">Se detecta una ambigüedad o deficiencia que debe corregirse.</t>
  </si>
  <si>
    <t xml:space="preserve">⚠ Revisar</t>
  </si>
  <si>
    <t xml:space="preserve">Requiere aclaración o depende de otra decisión.</t>
  </si>
  <si>
    <t xml:space="preserve">N/A</t>
  </si>
  <si>
    <t xml:space="preserve">No aplica a esta historia.</t>
  </si>
  <si>
    <t xml:space="preserve">GUÍA RÁPIDA — CRITERIOS DE ACEPTACIÓN BDD</t>
  </si>
  <si>
    <t xml:space="preserve">Behavior-Driven Development · Estructura Given–When–Then (Dado–Cuando–Entonces)</t>
  </si>
  <si>
    <t xml:space="preserve">1. ESTRUCTURA (Gherkin)</t>
  </si>
  <si>
    <t xml:space="preserve">Given (Dado)</t>
  </si>
  <si>
    <t xml:space="preserve">Contexto / precondición: el estado del sistema antes de la acción.</t>
  </si>
  <si>
    <t xml:space="preserve">When (Cuando)</t>
  </si>
  <si>
    <t xml:space="preserve">El evento o acción que dispara el comportamiento a validar.</t>
  </si>
  <si>
    <t xml:space="preserve">Then (Entonces)</t>
  </si>
  <si>
    <t xml:space="preserve">El resultado observable y verificable que debe cumplirse.</t>
  </si>
  <si>
    <t xml:space="preserve">And / But (Y / Pero)</t>
  </si>
  <si>
    <t xml:space="preserve">Encadena condiciones o resultados adicionales dentro de cualquier bloque.</t>
  </si>
  <si>
    <t xml:space="preserve">2. PLANTILLA REUTILIZABLE</t>
  </si>
  <si>
    <t xml:space="preserve">Escenario: &lt;título breve y descriptivo del comportamiento&gt;
  Dado &lt;precondición / contexto inicial&gt;
    Y   &lt;precondición adicional, si aplica&gt;
  Cuando &lt;acción o evento que ejecuta el usuario/sistema&gt;
  Entonces &lt;resultado esperado, observable y medible&gt;
    Y   &lt;resultado adicional / efecto secundario verificable&gt;</t>
  </si>
  <si>
    <t xml:space="preserve">3. EJEMPLO: DE AMBIGUO A VERIFICABLE</t>
  </si>
  <si>
    <t xml:space="preserve">User Story</t>
  </si>
  <si>
    <t xml:space="preserve">✗ Criterio ambiguo (mal)</t>
  </si>
  <si>
    <t xml:space="preserve">✓ Criterio BDD verificable (bien)</t>
  </si>
  <si>
    <t xml:space="preserve">Como cliente, quiero recuperar mi contraseña para volver a ingresar a mi cuenta.</t>
  </si>
  <si>
    <t xml:space="preserve">El sistema debe permitir recuperar la contraseña de forma rápida y sencilla.
(No define disparador, tiempo, ni resultado verificable.)</t>
  </si>
  <si>
    <t xml:space="preserve">Escenario: Recuperación con correo registrado
  Dado que el cliente tiene una cuenta con el correo 'ana@mail.com'
  Cuando solicita recuperar su contraseña con ese correo
  Entonces el sistema envía un enlace de restablecimiento en menos de 60 segundos
    Y el enlace expira a los 15 minutos
Escenario: Correo no registrado
  Dado que el correo 'x@mail.com' no existe
  Cuando el cliente solicita recuperación
  Entonces se muestra 'Si el correo existe, enviaremos instrucciones' sin revelar si está registrado</t>
  </si>
  <si>
    <t xml:space="preserve">4. CHECKLIST DE CALIDAD DEL ESCENARIO (antes de codificar)</t>
  </si>
  <si>
    <t xml:space="preserve">OK</t>
  </si>
  <si>
    <t xml:space="preserve">Criterio de calidad</t>
  </si>
  <si>
    <t xml:space="preserve">☐</t>
  </si>
  <si>
    <t xml:space="preserve">Cada escenario valida UN solo comportamiento (atómico).</t>
  </si>
  <si>
    <t xml:space="preserve">El resultado en 'Entonces' es observable y medible (sin ambigüedad).</t>
  </si>
  <si>
    <t xml:space="preserve">Se cubre al menos un camino feliz y un camino alterno/negativo.</t>
  </si>
  <si>
    <t xml:space="preserve">No hay detalles de implementación (describe QUÉ, no CÓMO).</t>
  </si>
  <si>
    <t xml:space="preserve">Usa el lenguaje ubicuo del dominio (términos del glosario).</t>
  </si>
  <si>
    <t xml:space="preserve">Los datos de ejemplo son concretos (valores reales, no 'algún dato').</t>
  </si>
  <si>
    <t xml:space="preserve">Es independiente: no depende del orden de ejecución de otros escenarios.</t>
  </si>
  <si>
    <t xml:space="preserve">Es automatizable (se puede traducir a una prueba).</t>
  </si>
  <si>
    <t xml:space="preserve">Cubre precondiciones de tiempo/estado cuando aplica (temporalidad).</t>
  </si>
  <si>
    <t xml:space="preserve">El alcance del escenario coincide con el de la user story (sin desbordarse).</t>
  </si>
  <si>
    <t xml:space="preserve">CHECKLIST DE DETECCIÓN DE AMBIGÜEDADES EN USER STORIES</t>
  </si>
  <si>
    <t xml:space="preserve">ID de la User Story:</t>
  </si>
  <si>
    <t xml:space="preserve">US-001</t>
  </si>
  <si>
    <t xml:space="preserve">Evaluador:</t>
  </si>
  <si>
    <t xml:space="preserve">Historia (Como &lt;rol&gt;, quiero &lt;objetivo&gt;, para &lt;beneficio&gt;):</t>
  </si>
  <si>
    <t xml:space="preserve">Como Analista de Triaje, quiero registrar un nuevo caso de Apelación, Queja o Reclamación consolidando automáticamente los datos disponibles, para iniciar su gestión con información completa desde el primer momento.</t>
  </si>
  <si>
    <t xml:space="preserve">#</t>
  </si>
  <si>
    <t xml:space="preserve">Aspecto a verificar</t>
  </si>
  <si>
    <t xml:space="preserve">Pregunta guía / criterio</t>
  </si>
  <si>
    <t xml:space="preserve">Estado</t>
  </si>
  <si>
    <t xml:space="preserve">Hallazgo detectado</t>
  </si>
  <si>
    <t xml:space="preserve">Reescritura sugerida</t>
  </si>
  <si>
    <t xml:space="preserve">AMBIGÜEDAD SEMÁNTICA</t>
  </si>
  <si>
    <t xml:space="preserve">Términos vagos / subjetivos</t>
  </si>
  <si>
    <t xml:space="preserve">¿Se evitan palabras como 'rápido', 'fácil', 'amigable', 'eficiente', 'intuitivo', 'óptimo' sin métrica?</t>
  </si>
  <si>
    <t xml:space="preserve">Lenguaje ubicuo</t>
  </si>
  <si>
    <t xml:space="preserve">¿Los términos del dominio están definidos en un glosario y se usan de forma consistente?</t>
  </si>
  <si>
    <t xml:space="preserve">No se anexa un glosario formal de términos del dominio (caso, triaje, SLA, clasificación, confiabilidad, etc.); los términos se usan de forma consistente pero sin definición central.</t>
  </si>
  <si>
    <t xml:space="preserve">Anexar/referenciar un glosario de dominio compartido por todas las historias del backlog.</t>
  </si>
  <si>
    <t xml:space="preserve">Sinónimos / homónimos</t>
  </si>
  <si>
    <t xml:space="preserve">¿Un mismo concepto se nombra siempre igual? ¿Un término no tiene dos significados?</t>
  </si>
  <si>
    <t xml:space="preserve">Pronombres sin referente</t>
  </si>
  <si>
    <t xml:space="preserve">¿Se evita 'esto', 'eso', 'lo anterior' sin un sujeto claro?</t>
  </si>
  <si>
    <t xml:space="preserve">Adjetivos cuantificables</t>
  </si>
  <si>
    <t xml:space="preserve">¿Los calificativos ('grande', 'muchos', 'suficiente') se expresan con números o rangos?</t>
  </si>
  <si>
    <t xml:space="preserve">AMBIGÜEDAD FUNCIONAL</t>
  </si>
  <si>
    <t xml:space="preserve">Acción única y clara</t>
  </si>
  <si>
    <t xml:space="preserve">¿La historia describe una sola capacidad? ¿Se evita el 'y/o' que oculta múltiples funciones?</t>
  </si>
  <si>
    <t xml:space="preserve">Actor identificado</t>
  </si>
  <si>
    <t xml:space="preserve">¿Está claro QUIÉN ejecuta la acción y quién se beneficia?</t>
  </si>
  <si>
    <t xml:space="preserve">Comportamiento esperado</t>
  </si>
  <si>
    <t xml:space="preserve">¿Se especifica el resultado observable de la acción (no solo la intención)?</t>
  </si>
  <si>
    <t xml:space="preserve">Manejo de errores / excepciones</t>
  </si>
  <si>
    <t xml:space="preserve">¿Se describen los caminos alternos y qué ocurre ante entradas inválidas?</t>
  </si>
  <si>
    <t xml:space="preserve">Reglas de negocio explícitas</t>
  </si>
  <si>
    <t xml:space="preserve">¿Las validaciones, cálculos y condiciones están declaradas y no supuestas?</t>
  </si>
  <si>
    <t xml:space="preserve">Dependencias funcionales</t>
  </si>
  <si>
    <t xml:space="preserve">¿Se identifican precondiciones o historias de las que depende?</t>
  </si>
  <si>
    <t xml:space="preserve">AMBIGÜEDAD TEMPORAL</t>
  </si>
  <si>
    <t xml:space="preserve">Momento / disparador</t>
  </si>
  <si>
    <t xml:space="preserve">¿Está claro CUÁNDO ocurre la acción (evento, condición o frecuencia)?</t>
  </si>
  <si>
    <t xml:space="preserve">Orden y secuencia</t>
  </si>
  <si>
    <t xml:space="preserve">¿Se define el orden de los pasos cuando importa la secuencia?</t>
  </si>
  <si>
    <t xml:space="preserve">Plazos y tiempos de respuesta</t>
  </si>
  <si>
    <t xml:space="preserve">¿Se cuantifican tiempos, timeouts, SLA o vigencias ('en X segundos', 'hasta las 23:59')?</t>
  </si>
  <si>
    <t xml:space="preserve">Estados y transiciones</t>
  </si>
  <si>
    <t xml:space="preserve">¿Se describen los estados del objeto y las transiciones válidas entre ellos?</t>
  </si>
  <si>
    <t xml:space="preserve">Concurrencia / simultaneidad</t>
  </si>
  <si>
    <t xml:space="preserve">¿Se contempla qué pasa si varios usuarios/procesos actúan a la vez?</t>
  </si>
  <si>
    <t xml:space="preserve">No se contempla qué ocurre si dos analistas registran simultáneamente casos que resultarán duplicados.</t>
  </si>
  <si>
    <t xml:space="preserve">Agregar: 'Dado que dos analistas registran casos simultáneamente que resultan duplicados, entonces el sistema aplica la detección de duplicados de US-007 sobre ambos.'</t>
  </si>
  <si>
    <t xml:space="preserve">AMBIGÜEDAD DE ALCANCE</t>
  </si>
  <si>
    <t xml:space="preserve">Límites (in/out of scope)</t>
  </si>
  <si>
    <t xml:space="preserve">¿Se declara explícitamente qué queda FUERA del alcance de la historia?</t>
  </si>
  <si>
    <t xml:space="preserve">La historia no declara explícitamente qué queda fuera de su alcance.</t>
  </si>
  <si>
    <t xml:space="preserve">Agregar una sección 'Fuera de alcance' que indique explícitamente las funcionalidades excluidas.</t>
  </si>
  <si>
    <t xml:space="preserve">Tamaño / granularidad (INVEST)</t>
  </si>
  <si>
    <t xml:space="preserve">¿La historia es lo bastante pequeña para completarse en un sprint? ¿Es divisible?</t>
  </si>
  <si>
    <t xml:space="preserve">Datos y volúmenes</t>
  </si>
  <si>
    <t xml:space="preserve">¿Se acotan cantidades, límites de registros, formatos y rangos de datos?</t>
  </si>
  <si>
    <t xml:space="preserve">Roles y permisos afectados</t>
  </si>
  <si>
    <t xml:space="preserve">¿Se delimita a qué perfiles/roles aplica y a cuáles no?</t>
  </si>
  <si>
    <t xml:space="preserve">Plataformas / entornos</t>
  </si>
  <si>
    <t xml:space="preserve">¿Se especifican dispositivos, navegadores, idiomas o entornos cubiertos?</t>
  </si>
  <si>
    <t xml:space="preserve">No se especifican dispositivos, navegadores, resoluciones o idiomas soportados para esta funcionalidad.</t>
  </si>
  <si>
    <t xml:space="preserve">Definir explícitamente los entornos soportados (navegador de escritorio, resolución mínima, idioma único: español).</t>
  </si>
  <si>
    <t xml:space="preserve">Criterios medibles / testables</t>
  </si>
  <si>
    <t xml:space="preserve">¿Cada afirmación puede verificarse objetivamente con una prueba?</t>
  </si>
  <si>
    <t xml:space="preserve">Ítems 'No cumple' (críticos):</t>
  </si>
  <si>
    <t xml:space="preserve">Ítems 'Revisar':</t>
  </si>
  <si>
    <t xml:space="preserve">VEREDICTO (Definition of Ready):</t>
  </si>
  <si>
    <t xml:space="preserve">US-002</t>
  </si>
  <si>
    <t xml:space="preserve">Como Analista de Triaje, quiero localizar y filtrar los casos A&amp;G según mis permisos, para ubicar rápidamente el caso que necesito atender.</t>
  </si>
  <si>
    <t xml:space="preserve">El beneficio de la historia usa 'rápidamente' sin métrica ('para ubicar rápidamente el caso').</t>
  </si>
  <si>
    <t xml:space="preserve">Reemplazar por: 'para ubicar el caso en menos de 5 segundos desde la aplicación del filtro o búsqueda'.</t>
  </si>
  <si>
    <t xml:space="preserve">No se define un tiempo máximo de respuesta para la búsqueda o el filtrado de casos.</t>
  </si>
  <si>
    <t xml:space="preserve">Agregar: 'Entonces el sistema muestra los resultados en menos de X segundos.'</t>
  </si>
  <si>
    <t xml:space="preserve">No se acota el número máximo de resultados mostrados ni el comportamiento de paginación.</t>
  </si>
  <si>
    <t xml:space="preserve">Definir: 'El listado se pagina de X en X registros' o límite equivalente.</t>
  </si>
  <si>
    <t xml:space="preserve">US-003</t>
  </si>
  <si>
    <t xml:space="preserve">Como Analista de Triaje, quiero actualizar o corregir la información de un caso en estado editable, para mantener los datos precisos durante su gestión.</t>
  </si>
  <si>
    <t xml:space="preserve">No se define qué ocurre si dos usuarios intentan editar el mismo caso simultáneamente.</t>
  </si>
  <si>
    <t xml:space="preserve">Agregar: 'Dado que dos usuarios editan el mismo caso a la vez, entonces el sistema aplica bloqueo optimista/pesimista y notifica el conflicto.'</t>
  </si>
  <si>
    <t xml:space="preserve">US-004</t>
  </si>
  <si>
    <t xml:space="preserve">Como Analista de Triaje, quiero que el sistema clasifique automáticamente el caso registrado asignando categoría, subcategoría, prioridad y nivel de confiabilidad, para agilizar la categorización inicial sin depender únicamente del criterio manual.</t>
  </si>
  <si>
    <t xml:space="preserve">No se define un tiempo máximo para que el motor de clasificación procese el caso.</t>
  </si>
  <si>
    <t xml:space="preserve">Agregar un SLA de procesamiento, por ejemplo: 'en menos de X segundos'.</t>
  </si>
  <si>
    <t xml:space="preserve">No se contempla la clasificación concurrente de múltiples casos ni el orden de prioridad de procesamiento.</t>
  </si>
  <si>
    <t xml:space="preserve">Aclarar el comportamiento del motor ante picos de carga simultánea.</t>
  </si>
  <si>
    <t xml:space="preserve">Estimación de 8 puntos: evaluar si la historia es divisible (p. ej. separar 'motor de reglas' de 'motor NLP').</t>
  </si>
  <si>
    <t xml:space="preserve">Considerar dividir en dos historias más pequeñas si el sprint no lo permite completar.</t>
  </si>
  <si>
    <t xml:space="preserve">El umbral de confiabilidad se abstrajo a 'umbral configurado'; el valor concreto (0.75) solo aparece en la Épica EP-02.</t>
  </si>
  <si>
    <t xml:space="preserve">Referenciar explícitamente el valor o el documento de configuración (EP-02) desde la propia historia.</t>
  </si>
  <si>
    <t xml:space="preserve">US-005</t>
  </si>
  <si>
    <t xml:space="preserve">Como Analista de Triaje, quiero validar o corregir la clasificación automática del caso, para asegurar que la categorización final sea correcta antes de continuar con el proceso.</t>
  </si>
  <si>
    <t xml:space="preserve">US-006</t>
  </si>
  <si>
    <t xml:space="preserve">Como Analista de Triaje, quiero registrar de forma auditable el fundamento de mis decisiones de triaje, para sostener la trazabilidad exigida en auditorías regulatorias.</t>
  </si>
  <si>
    <t xml:space="preserve">US-007</t>
  </si>
  <si>
    <t xml:space="preserve">Como Analista de Triaje, quiero que el sistema detecte automáticamente casos duplicados o relacionados al registrar un nuevo caso, para evitar atención redundante y mantener consistencia en el seguimiento.</t>
  </si>
  <si>
    <t xml:space="preserve">No se define un tiempo máximo para que el motor de detección calcule la similitud.</t>
  </si>
  <si>
    <t xml:space="preserve">Agregar un SLA de procesamiento del cálculo de similitud.</t>
  </si>
  <si>
    <t xml:space="preserve">No se define qué ocurre si se registran varios casos potencialmente duplicados entre sí de forma simultánea.</t>
  </si>
  <si>
    <t xml:space="preserve">Aclarar el comportamiento de detección ante registros concurrentes.</t>
  </si>
  <si>
    <t xml:space="preserve">Estimación de 8 puntos: evaluar si la historia es divisible (cálculo de similitud vs. presentación de alertas).</t>
  </si>
  <si>
    <t xml:space="preserve">Considerar dividir en historias más pequeñas.</t>
  </si>
  <si>
    <t xml:space="preserve">Los umbrales de similitud se abstrajeron a 'umbral configurado'; los valores concretos (≥90% / 60-89%) solo aparecen en la Épica EP-03.</t>
  </si>
  <si>
    <t xml:space="preserve">Referenciar explícitamente los valores o el documento de configuración (EP-03) desde la propia historia.</t>
  </si>
  <si>
    <t xml:space="preserve">US-008</t>
  </si>
  <si>
    <t xml:space="preserve">Como Analista de Triaje, quiero derivar un caso ya clasificado al área o especialista responsable, para que continúe su proceso de resolución.</t>
  </si>
  <si>
    <t xml:space="preserve">No se define qué ocurre si dos supervisores intentan derivar el mismo caso simultáneamente a áreas distintas.</t>
  </si>
  <si>
    <t xml:space="preserve">Agregar comportamiento ante derivación concurrente.</t>
  </si>
  <si>
    <t xml:space="preserve">US-009</t>
  </si>
  <si>
    <t xml:space="preserve">Como Supervisor Operativo, quiero cambiar el responsable asignado a un caso A&amp;G activo registrando el motivo del cambio, para asegurar la continuidad de su gestión con respaldo auditable.</t>
  </si>
  <si>
    <t xml:space="preserve">No se define qué ocurre si dos supervisores reasignan el mismo caso al mismo tiempo.</t>
  </si>
  <si>
    <t xml:space="preserve">Agregar: bloqueo o resolución de conflicto ante reasignación concurrente.</t>
  </si>
  <si>
    <t xml:space="preserve">US-010</t>
  </si>
  <si>
    <t xml:space="preserve">Como Supervisor Operativo, quiero visualizar el estado actual de los casos A&amp;G, para dar seguimiento oportuno a la operación sin acceder a múltiples sistemas.</t>
  </si>
  <si>
    <t xml:space="preserve">US-011</t>
  </si>
  <si>
    <t xml:space="preserve">Como Supervisor Operativo, quiero acceder a un tablero consolidado con indicadores operativos y alertas de SLA, para tener visibilidad global del desempeño del equipo de triaje.</t>
  </si>
  <si>
    <t xml:space="preserve">No se describe qué ocurre si no hay datos suficientes para calcular los indicadores (p. ej. periodo sin casos).</t>
  </si>
  <si>
    <t xml:space="preserve">Agregar: 'Dado que no existen casos en el periodo consultado, entonces el sistema muestra el tablero con indicadores en cero y un mensaje informativo.'</t>
  </si>
  <si>
    <t xml:space="preserve">El riesgo asociado menciona picos de demanda del 20% pero el criterio de aceptación no acota el volumen de datos que el tablero debe soportar.</t>
  </si>
  <si>
    <t xml:space="preserve">Cuantificar el volumen máximo de casos/eventos que el tablero debe procesar sin degradar el tiempo de carga.</t>
  </si>
  <si>
    <t xml:space="preserve">US-012</t>
  </si>
  <si>
    <t xml:space="preserve">Como Supervisor Operativo, quiero revisar y gestionar las alertas de casos próximos a vencer su SLA, para actuar antes de que se produzca un incumplimiento.</t>
  </si>
  <si>
    <t xml:space="preserve">Las notas de UX mencionan 'acciones rápidas' sin definir qué las hace rápidas.</t>
  </si>
  <si>
    <t xml:space="preserve">Especificar en qué consisten las acciones rápidas (p. ej. número de clics o campos requeridos).</t>
  </si>
  <si>
    <t xml:space="preserve">US-013</t>
  </si>
  <si>
    <t xml:space="preserve">Como Analista de Triaje, quiero colocar un caso en espera por una dependencia externa y vigilar su SLA, para evitar perder el control del caso mientras se resuelve la dependencia.</t>
  </si>
  <si>
    <t xml:space="preserve">No se define qué ocurre si el caso pasa a estado 'en espera' mientras otro usuario lo está editando.</t>
  </si>
  <si>
    <t xml:space="preserve">Aclarar la interacción entre edición concurrente y el estado 'en espera'.</t>
  </si>
  <si>
    <t xml:space="preserve">US-014</t>
  </si>
  <si>
    <t xml:space="preserve">Como integrante del Equipo de Calidad, quiero consultar el historial cronológico e inmutable de las acciones sobre un caso, para verificar el cumplimiento del proceso de triaje.</t>
  </si>
  <si>
    <t xml:space="preserve">El criterio usa 'un gran volumen de eventos' sin cuantificar el umbral a partir del cual aplica el filtrado.</t>
  </si>
  <si>
    <t xml:space="preserve">Reemplazar por: 'Dado que el historial contiene más de 200 eventos, entonces el sistema habilita filtros por tipo de evento o rango de fechas.'</t>
  </si>
  <si>
    <t xml:space="preserve">No se acota el volumen máximo de eventos que la vista de historial debe soportar ni la paginación.</t>
  </si>
  <si>
    <t xml:space="preserve">Definir el límite de eventos por página y el comportamiento de paginación.</t>
  </si>
  <si>
    <t xml:space="preserve">US-015</t>
  </si>
  <si>
    <t xml:space="preserve">Como integrante del Equipo de Calidad, quiero generar y descargar el Audit Trail de los casos en formato PDF o CSV, para cumplir con los requerimientos de auditorías regulatorias.</t>
  </si>
  <si>
    <t xml:space="preserve">No se define un tiempo máximo de generación del archivo de auditoría; el riesgo solo menciona que 'un volumen alto puede afectar el tiempo'.</t>
  </si>
  <si>
    <t xml:space="preserve">Agregar un SLA explícito, por ejemplo: 'el archivo se genera en menos de X minutos para hasta Y eventos'.</t>
  </si>
  <si>
    <t xml:space="preserve">US-016</t>
  </si>
  <si>
    <t xml:space="preserve">Como Administrador, quiero gestionar el ciclo de vida de los usuarios y la asignación de roles, para mantener el control de acceso alineado con la estructura del equipo.</t>
  </si>
  <si>
    <t xml:space="preserve">La historia agrupa dos capacidades: gestión del ciclo de vida de usuarios y asignación de roles; podría dividirse.</t>
  </si>
  <si>
    <t xml:space="preserve">Evaluar separar en 'Gestión de usuarios' y 'Asignación de roles' si se requiere mayor granularidad.</t>
  </si>
  <si>
    <t xml:space="preserve">No se describe qué ocurre ante datos inválidos al crear un usuario (p. ej. correo duplicado o rol inexistente).</t>
  </si>
  <si>
    <t xml:space="preserve">Agregar un escenario de error para creación de usuario con datos inválidos.</t>
  </si>
  <si>
    <t xml:space="preserve">US-018</t>
  </si>
  <si>
    <t xml:space="preserve">Como usuario del sistema, quiero autenticarme mediante inicio de sesión único (SSO) integrado con LDAP/AD, para acceder de forma segura únicamente a las funciones correspondientes a mi rol.</t>
  </si>
  <si>
    <t xml:space="preserve">No se define si un mismo usuario puede tener múltiples sesiones activas simultáneas.</t>
  </si>
  <si>
    <t xml:space="preserve">Aclarar la política de sesiones concurrentes por usuario.</t>
  </si>
  <si>
    <t xml:space="preserve">US-020</t>
  </si>
  <si>
    <t xml:space="preserve">Como Analista de Triaje, quiero revisar los documentos clínicos adjuntos de un caso mediante un visor integrado, para evaluar la información médica relevante sin descargar archivos fuera del sistema.</t>
  </si>
  <si>
    <t xml:space="preserve">El formato DICOM se declara explícitamente fuera de alcance (fase 2).</t>
  </si>
  <si>
    <t xml:space="preserve">US-021</t>
  </si>
  <si>
    <t xml:space="preserve">Como Administrador, quiero actualizar las reglas internas de clasificación del sistema, para adaptar el triaje a cambios operativos sin depender de intervención técnica.</t>
  </si>
  <si>
    <t xml:space="preserve">No se define qué ocurre si dos administradores modifican la misma regla interna simultáneamente.</t>
  </si>
  <si>
    <t xml:space="preserve">Agregar comportamiento ante edición concurrente de la misma regla.</t>
  </si>
  <si>
    <t xml:space="preserve">La historia delimita explícitamente su alcance: 'Aplica únicamente a reglas internas, no sujetas a aprobación regulatoria' (ese caso lo cubre US-022).</t>
  </si>
  <si>
    <t xml:space="preserve">US-022</t>
  </si>
  <si>
    <t xml:space="preserve">Como Administrador, quiero que todo cambio en un SLA regulatorio quede pendiente de aprobación formal de Compliance antes de aplicarse, para garantizar el cumplimiento normativo.</t>
  </si>
  <si>
    <t xml:space="preserve">No se define un plazo máximo para que Compliance apruebe o rechace el cambio de SLA regulatorio.</t>
  </si>
  <si>
    <t xml:space="preserve">Agregar un SLA de aprobación, por ejemplo: 'Compliance debe resolver en un máximo de X días hábiles.'</t>
  </si>
  <si>
    <t xml:space="preserve">La historia define estados explícitos: editado, 'Solo Lectura / Pendiente', aprobado y rechazado.</t>
  </si>
  <si>
    <t xml:space="preserve">No se define qué ocurre si Compliance y el Administrador intentan modificar el mismo SLA a la vez.</t>
  </si>
  <si>
    <t xml:space="preserve">Aclarar el comportamiento ante edición concurrente durante la ventana de aprobación.</t>
  </si>
  <si>
    <t xml:space="preserve">El alcance está delimitado a SLAs regulatorios (complementario a US-021).</t>
  </si>
  <si>
    <t xml:space="preserve">US-023</t>
  </si>
  <si>
    <t xml:space="preserve">Como Administrador, quiero consultar el historial de cambios realizados sobre reglas de clasificación y SLAs, para verificar quién modificó cada configuración y cuándo.</t>
  </si>
  <si>
    <t xml:space="preserve">No se describe qué ocurre si no existen cambios registrados para el parámetro consultado.</t>
  </si>
  <si>
    <t xml:space="preserve">Agregar: 'Dado que no existen cambios registrados para el parámetro, entonces el sistema muestra un mensaje indicando que no hay historial disponible.'</t>
  </si>
  <si>
    <t xml:space="preserve">No se acota el volumen de cambios mostrados ni el comportamiento de paginación del historial.</t>
  </si>
  <si>
    <t xml:space="preserve">Definir el límite de registros por página y el comportamiento de paginación.</t>
  </si>
  <si>
    <t xml:space="preserve">US-024</t>
  </si>
  <si>
    <t xml:space="preserve">Como Analista de Triaje, quiero que el sistema obtenga automáticamente la información de póliza y afiliado del sistema central, para contar con esos datos sin buscarlos manualmente.</t>
  </si>
  <si>
    <t xml:space="preserve">El plazo se referencia como 'el tiempo máximo definido para ese sistema' sin indicar el valor; el timeout concreto (5 segundos) solo aparece en la Épica EP-10.</t>
  </si>
  <si>
    <t xml:space="preserve">Referenciar explícitamente el valor o el documento de configuración de timeouts (EP-10) desde la propia historia.</t>
  </si>
  <si>
    <t xml:space="preserve">US-025</t>
  </si>
  <si>
    <t xml:space="preserve">Como Analista de Triaje, quiero que el sistema obtenga automáticamente el historial clínico relevante del afiliado, para evaluar el caso con información médica completa.</t>
  </si>
  <si>
    <t xml:space="preserve">El plazo se referencia como 'el tiempo máximo definido para ese sistema' sin indicar el valor; el timeout concreto (8 segundos) solo aparece en la Épica EP-10.</t>
  </si>
  <si>
    <t xml:space="preserve">US-026</t>
  </si>
  <si>
    <t xml:space="preserve">Como Analista de Triaje, quiero que el sistema recupere automáticamente los correos relevantes asociados al caso, para no tener que buscarlos manualmente en el correo corporativo.</t>
  </si>
  <si>
    <t xml:space="preserve">El plazo se referencia como 'el tiempo máximo definido para ese sistema' sin indicar el valor; el timeout concreto (10 segundos) solo aparece en la Épica EP-10.</t>
  </si>
  <si>
    <t xml:space="preserve">US-027</t>
  </si>
  <si>
    <t xml:space="preserve">Como Analista de Triaje, quiero visualizar un expediente único que consolide la información de póliza, historial clínico y correspondencia obtenida automáticamente, para contar con el panorama completo del caso sin navegar múltiples plataformas.</t>
  </si>
  <si>
    <t xml:space="preserve">US-017</t>
  </si>
  <si>
    <t xml:space="preserve">⚠ HISTORIA DESCARTADA — dividida en US-021, US-022 y US-023 (EP-08). Esta evaluación se conserva únicamente como referencia histórica del backlog; no representa una historia activa para desarrollo.</t>
  </si>
  <si>
    <t xml:space="preserve">Como Administrador, quiero actualizar las reglas de clasificación y los SLAs del sistema sin intervenir el código fuente, para adaptar el triaje a cambios operativos o regulatorios de forma ágil.</t>
  </si>
  <si>
    <t xml:space="preserve">La historia agrupa reglas de clasificación y SLAs, que son dos tipos de configuración con flujos de aprobación distintos.</t>
  </si>
  <si>
    <t xml:space="preserve">Evaluar dividir en 'Configuración de reglas de clasificación' y 'Configuración de SLAs regulatorios'.</t>
  </si>
  <si>
    <t xml:space="preserve">No se define qué ocurre si dos administradores modifican la misma regla simultáneamente.</t>
  </si>
  <si>
    <t xml:space="preserve">Agregar comportamiento ante edición concurrente de configuración.</t>
  </si>
  <si>
    <t xml:space="preserve">Estimación de 8 puntos: evaluar si la historia es divisible según el punto anterior.</t>
  </si>
  <si>
    <t xml:space="preserve">US-019</t>
  </si>
  <si>
    <t xml:space="preserve">⚠ HISTORIA DESCARTADA — dividida en US-024, US-025, US-026 y US-027 (EP-10). Esta evaluación se conserva únicamente como referencia histórica del backlog; no representa una historia activa para desarrollo.</t>
  </si>
  <si>
    <t xml:space="preserve">Como Analista de Triaje, quiero que el sistema consolide automáticamente la información de afiliados, pólizas e historial clínico desde los sistemas externos, para contar con el expediente completo del caso sin navegar múltiples plataformas.</t>
  </si>
  <si>
    <t xml:space="preserve">Estimación de 8 puntos: evaluar si la historia es divisible por sistema externo (Core Pólizas, EHR, correo).</t>
  </si>
  <si>
    <t xml:space="preserve">Considerar dividir en una historia por integración si el equipo lo requiere.</t>
  </si>
  <si>
    <t xml:space="preserve">No se acota el volumen de casos que pueden consolidarse simultáneamente ni el comportamiento ante saturación de las integraciones.</t>
  </si>
  <si>
    <t xml:space="preserve">Definir el volumen máximo soportado en paralelo por el Worker de Integración.</t>
  </si>
  <si>
    <t xml:space="preserve">REGISTRO DE VALIDACIÓN DEL BACKLOG</t>
  </si>
  <si>
    <t xml:space="preserve">TABLERO</t>
  </si>
  <si>
    <t xml:space="preserve">Historias registradas</t>
  </si>
  <si>
    <t xml:space="preserve">Aprobadas</t>
  </si>
  <si>
    <t xml:space="preserve">Con observaciones</t>
  </si>
  <si>
    <t xml:space="preserve">Rechazadas</t>
  </si>
  <si>
    <t xml:space="preserve">% Backlog listo (Definition of Ready):</t>
  </si>
  <si>
    <t xml:space="preserve">Nota: US-017 y US-019 fueron divididas en el backlog vigente (ver EP-08 y EP-10); sus evaluaciones históricas se conservan en las pestañas CHK-US-017-HIST y CHK-US-019-HIST, fuera del conteo de este tablero.</t>
  </si>
  <si>
    <t xml:space="preserve">ID</t>
  </si>
  <si>
    <t xml:space="preserve">User Story (Como… quiero… para…)</t>
  </si>
  <si>
    <t xml:space="preserve">Prioridad</t>
  </si>
  <si>
    <t xml:space="preserve">Ambig. críticas</t>
  </si>
  <si>
    <t xml:space="preserve">¿Tiene BDD?</t>
  </si>
  <si>
    <t xml:space="preserve">Escenarios</t>
  </si>
  <si>
    <t xml:space="preserve">Veredicto</t>
  </si>
  <si>
    <t xml:space="preserve">Observaciones / acción</t>
  </si>
  <si>
    <t xml:space="preserve">Alta</t>
  </si>
  <si>
    <t xml:space="preserve">Sí</t>
  </si>
  <si>
    <t xml:space="preserve">Ver observaciones (glosario, alcance y entornos soportados) en la pestaña CHK-US-001.</t>
  </si>
  <si>
    <t xml:space="preserve">Media</t>
  </si>
  <si>
    <t xml:space="preserve">Ver observaciones (glosario, alcance y entornos soportados) en la pestaña CHK-US-002.</t>
  </si>
  <si>
    <t xml:space="preserve">Ver observaciones (glosario, alcance y entornos soportados) en la pestaña CHK-US-003.</t>
  </si>
  <si>
    <t xml:space="preserve">Referenciar explícitamente el umbral configurado hacia la épica correspondiente. Ver CHK-US-004.</t>
  </si>
  <si>
    <t xml:space="preserve">Ver observaciones (glosario, alcance y entornos soportados) en la pestaña CHK-US-005.</t>
  </si>
  <si>
    <t xml:space="preserve">Ver observaciones (glosario, alcance y entornos soportados) en la pestaña CHK-US-006.</t>
  </si>
  <si>
    <t xml:space="preserve">Referenciar explícitamente el umbral configurado hacia la épica correspondiente. Ver CHK-US-007.</t>
  </si>
  <si>
    <t xml:space="preserve">Ver observaciones (glosario, alcance y entornos soportados) en la pestaña CHK-US-008.</t>
  </si>
  <si>
    <t xml:space="preserve">Ver observaciones (glosario, alcance y entornos soportados) en la pestaña CHK-US-009.</t>
  </si>
  <si>
    <t xml:space="preserve">Ver observaciones (glosario, alcance y entornos soportados) en la pestaña CHK-US-010.</t>
  </si>
  <si>
    <t xml:space="preserve">Ver observaciones (glosario, alcance y entornos soportados) en la pestaña CHK-US-011.</t>
  </si>
  <si>
    <t xml:space="preserve">Ver observaciones (glosario, alcance y entornos soportados) en la pestaña CHK-US-012.</t>
  </si>
  <si>
    <t xml:space="preserve">Ver observaciones (glosario, alcance y entornos soportados) en la pestaña CHK-US-013.</t>
  </si>
  <si>
    <t xml:space="preserve">Corregir el criterio de 'gran volumen de eventos' (cuantificar umbral) antes de pasar a codificación.</t>
  </si>
  <si>
    <t xml:space="preserve">Ver observaciones (glosario, alcance y entornos soportados) en la pestaña CHK-US-015.</t>
  </si>
  <si>
    <t xml:space="preserve">Ver observaciones (glosario, alcance y entornos soportados) en la pestaña CHK-US-016.</t>
  </si>
  <si>
    <t xml:space="preserve">Como usuario del sistema, quiero autenticarme mediante inicio de sesión único (SSO) con mi cuenta corporativa, para acceder de forma segura únicamente a las funciones correspondientes a mi rol.</t>
  </si>
  <si>
    <t xml:space="preserve">Ver observaciones (glosario, alcance y entornos soportados) en la pestaña CHK-US-018.</t>
  </si>
  <si>
    <t xml:space="preserve">Ver observaciones (glosario, alcance y entornos soportados) en la pestaña CHK-US-020.</t>
  </si>
  <si>
    <t xml:space="preserve">Ver observaciones (glosario, alcance y entornos soportados) en la pestaña CHK-US-021.</t>
  </si>
  <si>
    <t xml:space="preserve">Ver observaciones (glosario, alcance y entornos soportados) en la pestaña CHK-US-022.</t>
  </si>
  <si>
    <t xml:space="preserve">Ver observaciones (glosario, alcance y entornos soportados) en la pestaña CHK-US-023.</t>
  </si>
  <si>
    <t xml:space="preserve">Ver observaciones (glosario, alcance y entornos soportados) en la pestaña CHK-US-024.</t>
  </si>
  <si>
    <t xml:space="preserve">Ver observaciones (glosario, alcance y entornos soportados) en la pestaña CHK-US-025.</t>
  </si>
  <si>
    <t xml:space="preserve">Ver observaciones (glosario, alcance y entornos soportados) en la pestaña CHK-US-026.</t>
  </si>
  <si>
    <t xml:space="preserve">Ver observaciones (glosario, alcance y entornos soportados) en la pestaña CHK-US-027.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</si>
</sst>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2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i val="true"/>
      <sz val="11"/>
      <color rgb="FFFFFFFF"/>
      <name val="Calibri"/>
      <family val="0"/>
      <charset val="1"/>
    </font>
    <font>
      <b val="true"/>
      <sz val="10"/>
      <color rgb="FF28251D"/>
      <name val="Calibri"/>
      <family val="0"/>
      <charset val="1"/>
    </font>
    <font>
      <sz val="10"/>
      <color rgb="FF7A7974"/>
      <name val="Calibri"/>
      <family val="0"/>
      <charset val="1"/>
    </font>
    <font>
      <b val="true"/>
      <sz val="13"/>
      <color rgb="FF01696F"/>
      <name val="Calibri"/>
      <family val="0"/>
      <charset val="1"/>
    </font>
    <font>
      <sz val="10"/>
      <color rgb="FF28251D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28251D"/>
      <name val="Consolas"/>
      <family val="0"/>
      <charset val="1"/>
    </font>
    <font>
      <sz val="10"/>
      <color rgb="FFA12C7B"/>
      <name val="Calibri"/>
      <family val="0"/>
      <charset val="1"/>
    </font>
    <font>
      <sz val="9"/>
      <color rgb="FF437A22"/>
      <name val="Consolas"/>
      <family val="0"/>
      <charset val="1"/>
    </font>
    <font>
      <sz val="11"/>
      <color rgb="FF28251D"/>
      <name val="Calibri"/>
      <family val="0"/>
      <charset val="1"/>
    </font>
    <font>
      <b val="true"/>
      <sz val="11"/>
      <color rgb="FFA12C7B"/>
      <name val="Calibri"/>
      <family val="0"/>
      <charset val="1"/>
    </font>
    <font>
      <b val="true"/>
      <sz val="11"/>
      <color rgb="FF964219"/>
      <name val="Calibri"/>
      <family val="0"/>
      <charset val="1"/>
    </font>
    <font>
      <b val="true"/>
      <sz val="11"/>
      <color rgb="FF28251D"/>
      <name val="Calibri"/>
      <family val="0"/>
      <charset val="1"/>
    </font>
    <font>
      <b val="true"/>
      <sz val="11"/>
      <color rgb="FF01696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22"/>
      <color rgb="FF01696F"/>
      <name val="Calibri"/>
      <family val="0"/>
      <charset val="1"/>
    </font>
    <font>
      <b val="true"/>
      <sz val="22"/>
      <color rgb="FF437A22"/>
      <name val="Calibri"/>
      <family val="0"/>
      <charset val="1"/>
    </font>
    <font>
      <b val="true"/>
      <sz val="22"/>
      <color rgb="FF964219"/>
      <name val="Calibri"/>
      <family val="0"/>
      <charset val="1"/>
    </font>
    <font>
      <b val="true"/>
      <sz val="22"/>
      <color rgb="FFA12C7B"/>
      <name val="Calibri"/>
      <family val="0"/>
      <charset val="1"/>
    </font>
    <font>
      <b val="true"/>
      <sz val="12"/>
      <color rgb="FF437A22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1696F"/>
        <bgColor rgb="FF008080"/>
      </patternFill>
    </fill>
    <fill>
      <patternFill patternType="solid">
        <fgColor rgb="FF0C4E54"/>
        <bgColor rgb="FF01696F"/>
      </patternFill>
    </fill>
    <fill>
      <patternFill patternType="solid">
        <fgColor rgb="FFFBFBF9"/>
        <bgColor rgb="FFFFFFFF"/>
      </patternFill>
    </fill>
    <fill>
      <patternFill patternType="solid">
        <fgColor rgb="FF437A22"/>
        <bgColor rgb="FF808000"/>
      </patternFill>
    </fill>
    <fill>
      <patternFill patternType="solid">
        <fgColor rgb="FFA12C7B"/>
        <bgColor rgb="FF993366"/>
      </patternFill>
    </fill>
    <fill>
      <patternFill patternType="solid">
        <fgColor rgb="FF964219"/>
        <bgColor rgb="FF993366"/>
      </patternFill>
    </fill>
    <fill>
      <patternFill patternType="solid">
        <fgColor rgb="FF7A7974"/>
        <bgColor rgb="FF666699"/>
      </patternFill>
    </fill>
    <fill>
      <patternFill patternType="solid">
        <fgColor rgb="FFD19900"/>
        <bgColor rgb="FFFFCC00"/>
      </patternFill>
    </fill>
    <fill>
      <patternFill patternType="solid">
        <fgColor rgb="FFBCE2E7"/>
        <bgColor rgb="FFD4D1CA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4D1CA"/>
      </bottom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  <border diagonalUp="false" diagonalDown="false">
      <left style="thin">
        <color rgb="FFD4D1CA"/>
      </left>
      <right/>
      <top style="thin">
        <color rgb="FFD4D1CA"/>
      </top>
      <bottom style="thin">
        <color rgb="FFD4D1CA"/>
      </bottom>
      <diagonal/>
    </border>
    <border diagonalUp="false" diagonalDown="false">
      <left style="thin">
        <color rgb="FFD4D1CA"/>
      </left>
      <right/>
      <top style="thin">
        <color rgb="FFD4D1CA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C4E5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8251D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96F"/>
      <rgbColor rgb="FFD4D1CA"/>
      <rgbColor rgb="FF7A7974"/>
      <rgbColor rgb="FF9999FF"/>
      <rgbColor rgb="FFA12C7B"/>
      <rgbColor rgb="FFFBFBF9"/>
      <rgbColor rgb="FFCCFFFF"/>
      <rgbColor rgb="FF660066"/>
      <rgbColor rgb="FFFF8080"/>
      <rgbColor rgb="FF0066CC"/>
      <rgbColor rgb="FFBCE2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19900"/>
      <rgbColor rgb="FFFF6600"/>
      <rgbColor rgb="FF666699"/>
      <rgbColor rgb="FF969696"/>
      <rgbColor rgb="FF0C4E54"/>
      <rgbColor rgb="FF437A22"/>
      <rgbColor rgb="FF003300"/>
      <rgbColor rgb="FF333300"/>
      <rgbColor rgb="FF964219"/>
      <rgbColor rgb="FF993366"/>
      <rgbColor rgb="FF333399"/>
      <rgbColor rgb="FF2825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0" t="0" r="0" b="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0" t="0" r="0" b="0"/>
          </a:path>
          <a:tileRect l="0" t="0" r="0" b="0"/>
        </a:gradFill>
      </a:bgFillStyleLst>
    </a:fmtScheme>
  </a:themeElements>
</a:theme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4"/>
  <sheetViews>
    <sheetView showFormulas="false" showGridLines="false" showRowColHeaders="true" showZeros="true" rightToLeft="false" tabSelected="true" showOutlineSymbols="true" defaultGridColor="true" view="normal" topLeftCell="A1" colorId="64" zoomScale="145" zoomScaleNormal="145" zoomScalePageLayoutView="100" workbookViewId="0">
      <selection pane="topLeft" activeCell="C18" activeCellId="0" sqref="C18"/>
    </sheetView>
  </sheetViews>
  <sheetFormatPr defaultColWidth="8.71484375" defaultRowHeight="14.2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0"/>
    <col collapsed="false" customWidth="true" hidden="false" outlineLevel="0" max="4" min="4" style="0" width="3"/>
  </cols>
  <sheetData>
    <row r="2" customFormat="false" ht="39.75" hidden="false" customHeight="true" outlineLevel="0" collapsed="false">
      <c r="B2" s="1" t="s">
        <v>0</v>
      </c>
      <c r="C2" s="1"/>
    </row>
    <row r="3" customFormat="false" ht="21.75" hidden="false" customHeight="true" outlineLevel="0" collapsed="false">
      <c r="B3" s="2" t="s">
        <v>1</v>
      </c>
      <c r="C3" s="2"/>
    </row>
    <row r="5" customFormat="false" ht="15" hidden="false" customHeight="true" outlineLevel="0" collapsed="false">
      <c r="B5" s="3" t="s">
        <v>2</v>
      </c>
      <c r="C5" s="4" t="s">
        <v>3</v>
      </c>
    </row>
    <row r="6" customFormat="false" ht="15" hidden="false" customHeight="true" outlineLevel="0" collapsed="false">
      <c r="B6" s="3" t="s">
        <v>4</v>
      </c>
      <c r="C6" s="4" t="s">
        <v>5</v>
      </c>
    </row>
    <row r="7" customFormat="false" ht="15" hidden="false" customHeight="true" outlineLevel="0" collapsed="false">
      <c r="B7" s="3" t="s">
        <v>6</v>
      </c>
      <c r="C7" s="4" t="s">
        <v>7</v>
      </c>
    </row>
    <row r="8" customFormat="false" ht="15" hidden="false" customHeight="true" outlineLevel="0" collapsed="false">
      <c r="B8" s="3" t="s">
        <v>8</v>
      </c>
      <c r="C8" s="4" t="s">
        <v>9</v>
      </c>
    </row>
    <row r="9" customFormat="false" ht="15" hidden="false" customHeight="true" outlineLevel="0" collapsed="false">
      <c r="B9" s="3" t="s">
        <v>10</v>
      </c>
      <c r="C9" s="4" t="s">
        <v>11</v>
      </c>
    </row>
    <row r="11" customFormat="false" ht="15.75" hidden="false" customHeight="true" outlineLevel="0" collapsed="false">
      <c r="B11" s="5" t="s">
        <v>12</v>
      </c>
    </row>
    <row r="12" customFormat="false" ht="57.75" hidden="false" customHeight="true" outlineLevel="0" collapsed="false">
      <c r="B12" s="6" t="s">
        <v>13</v>
      </c>
      <c r="C12" s="6"/>
    </row>
    <row r="14" customFormat="false" ht="15.75" hidden="false" customHeight="true" outlineLevel="0" collapsed="false">
      <c r="B14" s="5" t="s">
        <v>14</v>
      </c>
    </row>
    <row r="15" customFormat="false" ht="39.75" hidden="false" customHeight="true" outlineLevel="0" collapsed="false">
      <c r="B15" s="7" t="s">
        <v>15</v>
      </c>
      <c r="C15" s="8" t="s">
        <v>16</v>
      </c>
    </row>
    <row r="16" customFormat="false" ht="39.75" hidden="false" customHeight="true" outlineLevel="0" collapsed="false">
      <c r="B16" s="7" t="s">
        <v>17</v>
      </c>
      <c r="C16" s="8" t="s">
        <v>18</v>
      </c>
    </row>
    <row r="17" customFormat="false" ht="39.75" hidden="false" customHeight="true" outlineLevel="0" collapsed="false">
      <c r="B17" s="7" t="s">
        <v>19</v>
      </c>
      <c r="C17" s="8" t="s">
        <v>20</v>
      </c>
    </row>
    <row r="18" customFormat="false" ht="39.75" hidden="false" customHeight="true" outlineLevel="0" collapsed="false">
      <c r="B18" s="7" t="s">
        <v>21</v>
      </c>
      <c r="C18" s="8" t="s">
        <v>22</v>
      </c>
    </row>
    <row r="20" customFormat="false" ht="15.75" hidden="false" customHeight="true" outlineLevel="0" collapsed="false">
      <c r="B20" s="5" t="s">
        <v>23</v>
      </c>
    </row>
    <row r="21" customFormat="false" ht="15" hidden="false" customHeight="true" outlineLevel="0" collapsed="false">
      <c r="B21" s="9" t="s">
        <v>24</v>
      </c>
      <c r="C21" s="10" t="s">
        <v>25</v>
      </c>
    </row>
    <row r="22" customFormat="false" ht="15" hidden="false" customHeight="true" outlineLevel="0" collapsed="false">
      <c r="B22" s="11" t="s">
        <v>26</v>
      </c>
      <c r="C22" s="10" t="s">
        <v>27</v>
      </c>
    </row>
    <row r="23" customFormat="false" ht="15" hidden="false" customHeight="true" outlineLevel="0" collapsed="false">
      <c r="B23" s="12" t="s">
        <v>28</v>
      </c>
      <c r="C23" s="10" t="s">
        <v>29</v>
      </c>
    </row>
    <row r="24" customFormat="false" ht="15" hidden="false" customHeight="true" outlineLevel="0" collapsed="false">
      <c r="B24" s="13" t="s">
        <v>30</v>
      </c>
      <c r="C24" s="10" t="s">
        <v>31</v>
      </c>
    </row>
  </sheetData>
  <mergeCells count="3">
    <mergeCell ref="B2:C2"/>
    <mergeCell ref="B3:C3"/>
    <mergeCell ref="B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5"/>
  <sheetViews>
    <sheetView showFormulas="false" showGridLines="fals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C6" activeCellId="0" sqref="C6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5" min="3" style="0" width="40"/>
    <col collapsed="false" customWidth="true" hidden="false" outlineLevel="0" max="6" min="6" style="0" width="3"/>
  </cols>
  <sheetData>
    <row r="2" customFormat="false" ht="33.75" hidden="false" customHeight="true" outlineLevel="0" collapsed="false">
      <c r="B2" s="14" t="s">
        <v>32</v>
      </c>
      <c r="C2" s="14"/>
      <c r="D2" s="14"/>
      <c r="E2" s="14"/>
    </row>
    <row r="3" customFormat="false" ht="15" hidden="false" customHeight="true" outlineLevel="0" collapsed="false">
      <c r="B3" s="15" t="s">
        <v>33</v>
      </c>
      <c r="C3" s="15"/>
      <c r="D3" s="15"/>
      <c r="E3" s="15"/>
    </row>
    <row r="5" customFormat="false" ht="15.75" hidden="false" customHeight="true" outlineLevel="0" collapsed="false">
      <c r="B5" s="5" t="s">
        <v>34</v>
      </c>
    </row>
    <row r="6" customFormat="false" ht="30" hidden="false" customHeight="true" outlineLevel="0" collapsed="false">
      <c r="B6" s="16" t="s">
        <v>35</v>
      </c>
      <c r="C6" s="17" t="s">
        <v>36</v>
      </c>
      <c r="D6" s="17"/>
      <c r="E6" s="17"/>
    </row>
    <row r="7" customFormat="false" ht="30" hidden="false" customHeight="true" outlineLevel="0" collapsed="false">
      <c r="B7" s="18" t="s">
        <v>37</v>
      </c>
      <c r="C7" s="17" t="s">
        <v>38</v>
      </c>
      <c r="D7" s="17"/>
      <c r="E7" s="17"/>
    </row>
    <row r="8" customFormat="false" ht="30" hidden="false" customHeight="true" outlineLevel="0" collapsed="false">
      <c r="B8" s="19" t="s">
        <v>39</v>
      </c>
      <c r="C8" s="17" t="s">
        <v>40</v>
      </c>
      <c r="D8" s="17"/>
      <c r="E8" s="17"/>
    </row>
    <row r="9" customFormat="false" ht="30" hidden="false" customHeight="true" outlineLevel="0" collapsed="false">
      <c r="B9" s="20" t="s">
        <v>41</v>
      </c>
      <c r="C9" s="17" t="s">
        <v>42</v>
      </c>
      <c r="D9" s="17"/>
      <c r="E9" s="17"/>
    </row>
    <row r="11" customFormat="false" ht="15.75" hidden="false" customHeight="true" outlineLevel="0" collapsed="false">
      <c r="B11" s="5" t="s">
        <v>43</v>
      </c>
    </row>
    <row r="12" customFormat="false" ht="109.5" hidden="false" customHeight="true" outlineLevel="0" collapsed="false">
      <c r="B12" s="21" t="s">
        <v>44</v>
      </c>
      <c r="C12" s="21"/>
      <c r="D12" s="21"/>
      <c r="E12" s="21"/>
    </row>
    <row r="13" customFormat="false" ht="15" hidden="false" customHeight="true" outlineLevel="0" collapsed="false">
      <c r="B13" s="21"/>
      <c r="C13" s="21"/>
      <c r="D13" s="21"/>
      <c r="E13" s="21"/>
    </row>
    <row r="14" customFormat="false" ht="15" hidden="false" customHeight="true" outlineLevel="0" collapsed="false">
      <c r="B14" s="21"/>
      <c r="C14" s="21"/>
      <c r="D14" s="21"/>
      <c r="E14" s="21"/>
    </row>
    <row r="15" customFormat="false" ht="15" hidden="false" customHeight="true" outlineLevel="0" collapsed="false">
      <c r="B15" s="21"/>
      <c r="C15" s="21"/>
      <c r="D15" s="21"/>
      <c r="E15" s="21"/>
    </row>
    <row r="16" customFormat="false" ht="15" hidden="false" customHeight="true" outlineLevel="0" collapsed="false">
      <c r="B16" s="21"/>
      <c r="C16" s="21"/>
      <c r="D16" s="21"/>
      <c r="E16" s="21"/>
    </row>
    <row r="17" customFormat="false" ht="15" hidden="false" customHeight="true" outlineLevel="0" collapsed="false">
      <c r="B17" s="21"/>
      <c r="C17" s="21"/>
      <c r="D17" s="21"/>
      <c r="E17" s="21"/>
    </row>
    <row r="18" customFormat="false" ht="15" hidden="false" customHeight="true" outlineLevel="0" collapsed="false">
      <c r="B18" s="21"/>
      <c r="C18" s="21"/>
      <c r="D18" s="21"/>
      <c r="E18" s="21"/>
    </row>
    <row r="20" customFormat="false" ht="15.75" hidden="false" customHeight="true" outlineLevel="0" collapsed="false">
      <c r="B20" s="5" t="s">
        <v>45</v>
      </c>
    </row>
    <row r="21" customFormat="false" ht="21.75" hidden="false" customHeight="true" outlineLevel="0" collapsed="false">
      <c r="B21" s="22" t="s">
        <v>46</v>
      </c>
      <c r="C21" s="22" t="s">
        <v>47</v>
      </c>
      <c r="D21" s="23" t="s">
        <v>48</v>
      </c>
      <c r="E21" s="23"/>
    </row>
    <row r="22" customFormat="false" ht="169.5" hidden="false" customHeight="true" outlineLevel="0" collapsed="false">
      <c r="B22" s="8" t="s">
        <v>49</v>
      </c>
      <c r="C22" s="24" t="s">
        <v>50</v>
      </c>
      <c r="D22" s="25" t="s">
        <v>51</v>
      </c>
      <c r="E22" s="25"/>
    </row>
    <row r="24" customFormat="false" ht="15.75" hidden="false" customHeight="true" outlineLevel="0" collapsed="false">
      <c r="B24" s="5" t="s">
        <v>52</v>
      </c>
    </row>
    <row r="25" customFormat="false" ht="15" hidden="false" customHeight="true" outlineLevel="0" collapsed="false">
      <c r="B25" s="22" t="s">
        <v>53</v>
      </c>
      <c r="C25" s="23" t="s">
        <v>54</v>
      </c>
      <c r="D25" s="23"/>
      <c r="E25" s="23"/>
    </row>
    <row r="26" customFormat="false" ht="21.75" hidden="false" customHeight="true" outlineLevel="0" collapsed="false">
      <c r="B26" s="26" t="s">
        <v>55</v>
      </c>
      <c r="C26" s="27" t="s">
        <v>56</v>
      </c>
      <c r="D26" s="27"/>
      <c r="E26" s="27"/>
    </row>
    <row r="27" customFormat="false" ht="21.75" hidden="false" customHeight="true" outlineLevel="0" collapsed="false">
      <c r="B27" s="26" t="s">
        <v>55</v>
      </c>
      <c r="C27" s="27" t="s">
        <v>57</v>
      </c>
      <c r="D27" s="27"/>
      <c r="E27" s="27"/>
    </row>
    <row r="28" customFormat="false" ht="21.75" hidden="false" customHeight="true" outlineLevel="0" collapsed="false">
      <c r="B28" s="26" t="s">
        <v>55</v>
      </c>
      <c r="C28" s="27" t="s">
        <v>58</v>
      </c>
      <c r="D28" s="27"/>
      <c r="E28" s="27"/>
    </row>
    <row r="29" customFormat="false" ht="21.75" hidden="false" customHeight="true" outlineLevel="0" collapsed="false">
      <c r="B29" s="26" t="s">
        <v>55</v>
      </c>
      <c r="C29" s="27" t="s">
        <v>59</v>
      </c>
      <c r="D29" s="27"/>
      <c r="E29" s="27"/>
    </row>
    <row r="30" customFormat="false" ht="21.75" hidden="false" customHeight="true" outlineLevel="0" collapsed="false">
      <c r="B30" s="26" t="s">
        <v>55</v>
      </c>
      <c r="C30" s="27" t="s">
        <v>60</v>
      </c>
      <c r="D30" s="27"/>
      <c r="E30" s="27"/>
    </row>
    <row r="31" customFormat="false" ht="21.75" hidden="false" customHeight="true" outlineLevel="0" collapsed="false">
      <c r="B31" s="26" t="s">
        <v>55</v>
      </c>
      <c r="C31" s="27" t="s">
        <v>61</v>
      </c>
      <c r="D31" s="27"/>
      <c r="E31" s="27"/>
    </row>
    <row r="32" customFormat="false" ht="21.75" hidden="false" customHeight="true" outlineLevel="0" collapsed="false">
      <c r="B32" s="26" t="s">
        <v>55</v>
      </c>
      <c r="C32" s="27" t="s">
        <v>62</v>
      </c>
      <c r="D32" s="27"/>
      <c r="E32" s="27"/>
    </row>
    <row r="33" customFormat="false" ht="21.75" hidden="false" customHeight="true" outlineLevel="0" collapsed="false">
      <c r="B33" s="26" t="s">
        <v>55</v>
      </c>
      <c r="C33" s="27" t="s">
        <v>63</v>
      </c>
      <c r="D33" s="27"/>
      <c r="E33" s="27"/>
    </row>
    <row r="34" customFormat="false" ht="21.75" hidden="false" customHeight="true" outlineLevel="0" collapsed="false">
      <c r="B34" s="26" t="s">
        <v>55</v>
      </c>
      <c r="C34" s="27" t="s">
        <v>64</v>
      </c>
      <c r="D34" s="27"/>
      <c r="E34" s="27"/>
    </row>
    <row r="35" customFormat="false" ht="21.75" hidden="false" customHeight="true" outlineLevel="0" collapsed="false">
      <c r="B35" s="26" t="s">
        <v>55</v>
      </c>
      <c r="C35" s="27" t="s">
        <v>65</v>
      </c>
      <c r="D35" s="27"/>
      <c r="E35" s="27"/>
    </row>
  </sheetData>
  <mergeCells count="20">
    <mergeCell ref="B2:E2"/>
    <mergeCell ref="B3:E3"/>
    <mergeCell ref="C6:E6"/>
    <mergeCell ref="C7:E7"/>
    <mergeCell ref="C8:E8"/>
    <mergeCell ref="C9:E9"/>
    <mergeCell ref="B12:E18"/>
    <mergeCell ref="D21:E21"/>
    <mergeCell ref="D22:E22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34"/>
  </cols>
  <sheetData>
    <row r="2" customFormat="false" ht="33.75" hidden="false" customHeight="true" outlineLevel="0" collapsed="false">
      <c r="B2" s="14" t="s">
        <v>66</v>
      </c>
      <c r="C2" s="14"/>
      <c r="D2" s="14"/>
      <c r="E2" s="14"/>
      <c r="F2" s="14"/>
      <c r="G2" s="14"/>
    </row>
    <row r="3" customFormat="false" ht="15" hidden="false" customHeight="true" outlineLevel="0" collapsed="false">
      <c r="B3" s="28" t="s">
        <v>67</v>
      </c>
      <c r="C3" s="28"/>
      <c r="D3" s="29" t="s">
        <v>68</v>
      </c>
      <c r="E3" s="28" t="s">
        <v>69</v>
      </c>
      <c r="F3" s="28"/>
      <c r="G3" s="29" t="s">
        <v>5</v>
      </c>
    </row>
    <row r="4" customFormat="false" ht="15" hidden="false" customHeight="true" outlineLevel="0" collapsed="false">
      <c r="B4" s="28" t="s">
        <v>70</v>
      </c>
      <c r="C4" s="28"/>
      <c r="D4" s="28"/>
      <c r="E4" s="28"/>
      <c r="F4" s="28"/>
      <c r="G4" s="28"/>
    </row>
    <row r="5" customFormat="false" ht="30" hidden="false" customHeight="true" outlineLevel="0" collapsed="false">
      <c r="B5" s="30" t="s">
        <v>71</v>
      </c>
      <c r="C5" s="30"/>
      <c r="D5" s="30"/>
      <c r="E5" s="30"/>
      <c r="F5" s="30"/>
      <c r="G5" s="30"/>
    </row>
    <row r="7" customFormat="false" ht="24" hidden="false" customHeight="true" outlineLevel="0" collapsed="false">
      <c r="B7" s="22" t="s">
        <v>72</v>
      </c>
      <c r="C7" s="22" t="s">
        <v>73</v>
      </c>
      <c r="D7" s="22" t="s">
        <v>74</v>
      </c>
      <c r="E7" s="22" t="s">
        <v>75</v>
      </c>
      <c r="F7" s="22" t="s">
        <v>76</v>
      </c>
      <c r="G7" s="22" t="s">
        <v>77</v>
      </c>
    </row>
    <row r="8" customFormat="false" ht="21.75" hidden="false" customHeight="true" outlineLevel="0" collapsed="false">
      <c r="B8" s="31" t="s">
        <v>78</v>
      </c>
      <c r="C8" s="31"/>
      <c r="D8" s="31"/>
      <c r="E8" s="31"/>
      <c r="F8" s="31"/>
      <c r="G8" s="31"/>
    </row>
    <row r="9" customFormat="false" ht="33.75" hidden="false" customHeight="true" outlineLevel="0" collapsed="false">
      <c r="B9" s="32" t="n">
        <v>1</v>
      </c>
      <c r="C9" s="33" t="s">
        <v>79</v>
      </c>
      <c r="D9" s="27" t="s">
        <v>80</v>
      </c>
      <c r="E9" s="32" t="s">
        <v>24</v>
      </c>
      <c r="F9" s="27"/>
      <c r="G9" s="27"/>
    </row>
    <row r="10" customFormat="false" ht="33.75" hidden="false" customHeight="true" outlineLevel="0" collapsed="false">
      <c r="B10" s="32" t="n">
        <v>2</v>
      </c>
      <c r="C10" s="33" t="s">
        <v>81</v>
      </c>
      <c r="D10" s="27" t="s">
        <v>82</v>
      </c>
      <c r="E10" s="32" t="s">
        <v>28</v>
      </c>
      <c r="F10" s="27" t="s">
        <v>83</v>
      </c>
      <c r="G10" s="27" t="s">
        <v>84</v>
      </c>
    </row>
    <row r="11" customFormat="false" ht="33.75" hidden="false" customHeight="true" outlineLevel="0" collapsed="false">
      <c r="B11" s="32" t="n">
        <v>3</v>
      </c>
      <c r="C11" s="33" t="s">
        <v>85</v>
      </c>
      <c r="D11" s="27" t="s">
        <v>86</v>
      </c>
      <c r="E11" s="32" t="s">
        <v>24</v>
      </c>
      <c r="F11" s="27"/>
      <c r="G11" s="27"/>
    </row>
    <row r="12" customFormat="false" ht="33.75" hidden="false" customHeight="true" outlineLevel="0" collapsed="false">
      <c r="B12" s="32" t="n">
        <v>4</v>
      </c>
      <c r="C12" s="33" t="s">
        <v>87</v>
      </c>
      <c r="D12" s="27" t="s">
        <v>88</v>
      </c>
      <c r="E12" s="32" t="s">
        <v>24</v>
      </c>
      <c r="F12" s="27"/>
      <c r="G12" s="27"/>
    </row>
    <row r="13" customFormat="false" ht="33.75" hidden="false" customHeight="true" outlineLevel="0" collapsed="false">
      <c r="B13" s="32" t="n">
        <v>5</v>
      </c>
      <c r="C13" s="33" t="s">
        <v>89</v>
      </c>
      <c r="D13" s="27" t="s">
        <v>90</v>
      </c>
      <c r="E13" s="32" t="s">
        <v>24</v>
      </c>
      <c r="F13" s="27"/>
      <c r="G13" s="27"/>
    </row>
    <row r="14" customFormat="false" ht="21.75" hidden="false" customHeight="true" outlineLevel="0" collapsed="false">
      <c r="B14" s="34" t="s">
        <v>91</v>
      </c>
      <c r="C14" s="34"/>
      <c r="D14" s="34"/>
      <c r="E14" s="34"/>
      <c r="F14" s="34"/>
      <c r="G14" s="34"/>
    </row>
    <row r="15" customFormat="false" ht="33.75" hidden="false" customHeight="true" outlineLevel="0" collapsed="false">
      <c r="B15" s="32" t="n">
        <v>6</v>
      </c>
      <c r="C15" s="33" t="s">
        <v>92</v>
      </c>
      <c r="D15" s="27" t="s">
        <v>93</v>
      </c>
      <c r="E15" s="32" t="s">
        <v>24</v>
      </c>
      <c r="F15" s="27"/>
      <c r="G15" s="27"/>
    </row>
    <row r="16" customFormat="false" ht="33.75" hidden="false" customHeight="true" outlineLevel="0" collapsed="false">
      <c r="B16" s="32" t="n">
        <v>7</v>
      </c>
      <c r="C16" s="33" t="s">
        <v>94</v>
      </c>
      <c r="D16" s="27" t="s">
        <v>95</v>
      </c>
      <c r="E16" s="32" t="s">
        <v>24</v>
      </c>
      <c r="F16" s="27"/>
      <c r="G16" s="27"/>
    </row>
    <row r="17" customFormat="false" ht="33.75" hidden="false" customHeight="true" outlineLevel="0" collapsed="false">
      <c r="B17" s="32" t="n">
        <v>8</v>
      </c>
      <c r="C17" s="33" t="s">
        <v>96</v>
      </c>
      <c r="D17" s="27" t="s">
        <v>97</v>
      </c>
      <c r="E17" s="32" t="s">
        <v>24</v>
      </c>
      <c r="F17" s="27"/>
      <c r="G17" s="27"/>
    </row>
    <row r="18" customFormat="false" ht="33.75" hidden="false" customHeight="true" outlineLevel="0" collapsed="false">
      <c r="B18" s="32" t="n">
        <v>9</v>
      </c>
      <c r="C18" s="33" t="s">
        <v>98</v>
      </c>
      <c r="D18" s="27" t="s">
        <v>99</v>
      </c>
      <c r="E18" s="32" t="s">
        <v>24</v>
      </c>
      <c r="F18" s="27"/>
      <c r="G18" s="27"/>
    </row>
    <row r="19" customFormat="false" ht="33.75" hidden="false" customHeight="true" outlineLevel="0" collapsed="false">
      <c r="B19" s="32" t="n">
        <v>10</v>
      </c>
      <c r="C19" s="33" t="s">
        <v>100</v>
      </c>
      <c r="D19" s="27" t="s">
        <v>101</v>
      </c>
      <c r="E19" s="32" t="s">
        <v>24</v>
      </c>
      <c r="F19" s="27"/>
      <c r="G19" s="27"/>
    </row>
    <row r="20" customFormat="false" ht="33.75" hidden="false" customHeight="true" outlineLevel="0" collapsed="false">
      <c r="B20" s="32" t="n">
        <v>11</v>
      </c>
      <c r="C20" s="33" t="s">
        <v>102</v>
      </c>
      <c r="D20" s="27" t="s">
        <v>103</v>
      </c>
      <c r="E20" s="32" t="s">
        <v>24</v>
      </c>
      <c r="F20" s="27"/>
      <c r="G20" s="27"/>
    </row>
    <row r="21" customFormat="false" ht="21.75" hidden="false" customHeight="true" outlineLevel="0" collapsed="false">
      <c r="B21" s="35" t="s">
        <v>104</v>
      </c>
      <c r="C21" s="35"/>
      <c r="D21" s="35"/>
      <c r="E21" s="35"/>
      <c r="F21" s="35"/>
      <c r="G21" s="35"/>
    </row>
    <row r="22" customFormat="false" ht="33.75" hidden="false" customHeight="true" outlineLevel="0" collapsed="false">
      <c r="B22" s="32" t="n">
        <v>12</v>
      </c>
      <c r="C22" s="33" t="s">
        <v>105</v>
      </c>
      <c r="D22" s="27" t="s">
        <v>106</v>
      </c>
      <c r="E22" s="32" t="s">
        <v>24</v>
      </c>
      <c r="F22" s="27"/>
      <c r="G22" s="27"/>
    </row>
    <row r="23" customFormat="false" ht="33.75" hidden="false" customHeight="true" outlineLevel="0" collapsed="false">
      <c r="B23" s="32" t="n">
        <v>13</v>
      </c>
      <c r="C23" s="33" t="s">
        <v>107</v>
      </c>
      <c r="D23" s="27" t="s">
        <v>108</v>
      </c>
      <c r="E23" s="32" t="s">
        <v>24</v>
      </c>
      <c r="F23" s="27"/>
      <c r="G23" s="27"/>
    </row>
    <row r="24" customFormat="false" ht="33.75" hidden="false" customHeight="true" outlineLevel="0" collapsed="false">
      <c r="B24" s="32" t="n">
        <v>14</v>
      </c>
      <c r="C24" s="33" t="s">
        <v>109</v>
      </c>
      <c r="D24" s="27" t="s">
        <v>110</v>
      </c>
      <c r="E24" s="32" t="s">
        <v>30</v>
      </c>
      <c r="F24" s="27"/>
      <c r="G24" s="27"/>
    </row>
    <row r="25" customFormat="false" ht="33.75" hidden="false" customHeight="true" outlineLevel="0" collapsed="false">
      <c r="B25" s="32" t="n">
        <v>15</v>
      </c>
      <c r="C25" s="33" t="s">
        <v>111</v>
      </c>
      <c r="D25" s="27" t="s">
        <v>112</v>
      </c>
      <c r="E25" s="32" t="s">
        <v>30</v>
      </c>
      <c r="F25" s="27"/>
      <c r="G25" s="27"/>
    </row>
    <row r="26" customFormat="false" ht="33.75" hidden="false" customHeight="true" outlineLevel="0" collapsed="false">
      <c r="B26" s="32" t="n">
        <v>16</v>
      </c>
      <c r="C26" s="33" t="s">
        <v>113</v>
      </c>
      <c r="D26" s="27" t="s">
        <v>114</v>
      </c>
      <c r="E26" s="32" t="s">
        <v>28</v>
      </c>
      <c r="F26" s="27" t="s">
        <v>115</v>
      </c>
      <c r="G26" s="27" t="s">
        <v>116</v>
      </c>
    </row>
    <row r="27" customFormat="false" ht="21.75" hidden="false" customHeight="true" outlineLevel="0" collapsed="false">
      <c r="B27" s="36" t="s">
        <v>117</v>
      </c>
      <c r="C27" s="36"/>
      <c r="D27" s="36"/>
      <c r="E27" s="36"/>
      <c r="F27" s="36"/>
      <c r="G27" s="36"/>
    </row>
    <row r="28" customFormat="false" ht="33.75" hidden="false" customHeight="true" outlineLevel="0" collapsed="false">
      <c r="B28" s="32" t="n">
        <v>17</v>
      </c>
      <c r="C28" s="33" t="s">
        <v>118</v>
      </c>
      <c r="D28" s="27" t="s">
        <v>119</v>
      </c>
      <c r="E28" s="32" t="s">
        <v>28</v>
      </c>
      <c r="F28" s="27" t="s">
        <v>120</v>
      </c>
      <c r="G28" s="27" t="s">
        <v>121</v>
      </c>
    </row>
    <row r="29" customFormat="false" ht="33.75" hidden="false" customHeight="true" outlineLevel="0" collapsed="false">
      <c r="B29" s="32" t="n">
        <v>18</v>
      </c>
      <c r="C29" s="33" t="s">
        <v>122</v>
      </c>
      <c r="D29" s="27" t="s">
        <v>123</v>
      </c>
      <c r="E29" s="32" t="s">
        <v>24</v>
      </c>
      <c r="F29" s="27"/>
      <c r="G29" s="27"/>
    </row>
    <row r="30" customFormat="false" ht="33.75" hidden="false" customHeight="true" outlineLevel="0" collapsed="false">
      <c r="B30" s="32" t="n">
        <v>19</v>
      </c>
      <c r="C30" s="33" t="s">
        <v>124</v>
      </c>
      <c r="D30" s="27" t="s">
        <v>125</v>
      </c>
      <c r="E30" s="32" t="s">
        <v>30</v>
      </c>
      <c r="F30" s="27"/>
      <c r="G30" s="27"/>
    </row>
    <row r="31" customFormat="false" ht="33.75" hidden="false" customHeight="true" outlineLevel="0" collapsed="false">
      <c r="B31" s="32" t="n">
        <v>20</v>
      </c>
      <c r="C31" s="33" t="s">
        <v>126</v>
      </c>
      <c r="D31" s="27" t="s">
        <v>127</v>
      </c>
      <c r="E31" s="32" t="s">
        <v>24</v>
      </c>
      <c r="F31" s="27"/>
      <c r="G31" s="27"/>
    </row>
    <row r="32" customFormat="false" ht="33.75" hidden="false" customHeight="true" outlineLevel="0" collapsed="false">
      <c r="B32" s="32" t="n">
        <v>21</v>
      </c>
      <c r="C32" s="33" t="s">
        <v>128</v>
      </c>
      <c r="D32" s="27" t="s">
        <v>129</v>
      </c>
      <c r="E32" s="32" t="s">
        <v>28</v>
      </c>
      <c r="F32" s="27" t="s">
        <v>130</v>
      </c>
      <c r="G32" s="27" t="s">
        <v>131</v>
      </c>
    </row>
    <row r="33" customFormat="false" ht="33.75" hidden="false" customHeight="true" outlineLevel="0" collapsed="false">
      <c r="B33" s="32" t="n">
        <v>22</v>
      </c>
      <c r="C33" s="33" t="s">
        <v>132</v>
      </c>
      <c r="D33" s="27" t="s">
        <v>133</v>
      </c>
      <c r="E33" s="32" t="s">
        <v>24</v>
      </c>
      <c r="F33" s="27"/>
      <c r="G33" s="27"/>
    </row>
    <row r="35" customFormat="false" ht="15" hidden="false" customHeight="true" outlineLevel="0" collapsed="false">
      <c r="B35" s="28" t="s">
        <v>134</v>
      </c>
      <c r="C35" s="28"/>
      <c r="D35" s="37" t="n">
        <f aca="false">COUNTIF(E8:E33,"✗ No cumple")</f>
        <v>0</v>
      </c>
    </row>
    <row r="36" customFormat="false" ht="15" hidden="false" customHeight="true" outlineLevel="0" collapsed="false">
      <c r="B36" s="28" t="s">
        <v>135</v>
      </c>
      <c r="C36" s="28"/>
      <c r="D36" s="38" t="n">
        <f aca="false">COUNTIF(E8:E33,"⚠ Revisar")</f>
        <v>4</v>
      </c>
    </row>
    <row r="37" customFormat="false" ht="24" hidden="false" customHeight="true" outlineLevel="0" collapsed="false">
      <c r="B37" s="39" t="s">
        <v>136</v>
      </c>
      <c r="C37" s="39"/>
      <c r="D37" s="40" t="str">
        <f aca="false">IF(D35&gt;0,"RECHAZADA - corregir ambigüedades críticas",IF(D36&gt;0,"APROBADA CON OBSERVACIONES - aclarar pendientes","APROBADA - lista para BDD"))</f>
        <v>APROBADA CON OBSERVACIONES - aclarar pendientes</v>
      </c>
      <c r="E37" s="40"/>
      <c r="F37" s="40"/>
      <c r="G37" s="40"/>
    </row>
  </sheetData>
  <mergeCells count="13">
    <mergeCell ref="B2:G2"/>
    <mergeCell ref="B3:C3"/>
    <mergeCell ref="E3:F3"/>
    <mergeCell ref="B4:G4"/>
    <mergeCell ref="B5:G5"/>
    <mergeCell ref="B8:G8"/>
    <mergeCell ref="B14:G14"/>
    <mergeCell ref="B21:G21"/>
    <mergeCell ref="B27:G27"/>
    <mergeCell ref="B35:C35"/>
    <mergeCell ref="B36:C36"/>
    <mergeCell ref="B37:C37"/>
    <mergeCell ref="D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34"/>
  </cols>
  <sheetData>
    <row r="2" customFormat="false" ht="33.75" hidden="false" customHeight="true" outlineLevel="0" collapsed="false">
      <c r="B2" s="14" t="s">
        <v>66</v>
      </c>
      <c r="C2" s="14"/>
      <c r="D2" s="14"/>
      <c r="E2" s="14"/>
      <c r="F2" s="14"/>
      <c r="G2" s="14"/>
    </row>
    <row r="3" customFormat="false" ht="15" hidden="false" customHeight="true" outlineLevel="0" collapsed="false">
      <c r="B3" s="28" t="s">
        <v>67</v>
      </c>
      <c r="C3" s="28"/>
      <c r="D3" s="29" t="s">
        <v>137</v>
      </c>
      <c r="E3" s="28" t="s">
        <v>69</v>
      </c>
      <c r="F3" s="28"/>
      <c r="G3" s="29" t="s">
        <v>5</v>
      </c>
    </row>
    <row r="4" customFormat="false" ht="15" hidden="false" customHeight="true" outlineLevel="0" collapsed="false">
      <c r="B4" s="28" t="s">
        <v>70</v>
      </c>
      <c r="C4" s="28"/>
      <c r="D4" s="28"/>
      <c r="E4" s="28"/>
      <c r="F4" s="28"/>
      <c r="G4" s="28"/>
    </row>
    <row r="5" customFormat="false" ht="30" hidden="false" customHeight="true" outlineLevel="0" collapsed="false">
      <c r="B5" s="30" t="s">
        <v>138</v>
      </c>
      <c r="C5" s="30"/>
      <c r="D5" s="30"/>
      <c r="E5" s="30"/>
      <c r="F5" s="30"/>
      <c r="G5" s="30"/>
    </row>
    <row r="7" customFormat="false" ht="24" hidden="false" customHeight="true" outlineLevel="0" collapsed="false">
      <c r="B7" s="22" t="s">
        <v>72</v>
      </c>
      <c r="C7" s="22" t="s">
        <v>73</v>
      </c>
      <c r="D7" s="22" t="s">
        <v>74</v>
      </c>
      <c r="E7" s="22" t="s">
        <v>75</v>
      </c>
      <c r="F7" s="22" t="s">
        <v>76</v>
      </c>
      <c r="G7" s="22" t="s">
        <v>77</v>
      </c>
    </row>
    <row r="8" customFormat="false" ht="21.75" hidden="false" customHeight="true" outlineLevel="0" collapsed="false">
      <c r="B8" s="31" t="s">
        <v>78</v>
      </c>
      <c r="C8" s="31"/>
      <c r="D8" s="31"/>
      <c r="E8" s="31"/>
      <c r="F8" s="31"/>
      <c r="G8" s="31"/>
    </row>
    <row r="9" customFormat="false" ht="33.75" hidden="false" customHeight="true" outlineLevel="0" collapsed="false">
      <c r="B9" s="32" t="n">
        <v>1</v>
      </c>
      <c r="C9" s="33" t="s">
        <v>79</v>
      </c>
      <c r="D9" s="27" t="s">
        <v>80</v>
      </c>
      <c r="E9" s="32" t="s">
        <v>28</v>
      </c>
      <c r="F9" s="27" t="s">
        <v>139</v>
      </c>
      <c r="G9" s="27" t="s">
        <v>140</v>
      </c>
    </row>
    <row r="10" customFormat="false" ht="33.75" hidden="false" customHeight="true" outlineLevel="0" collapsed="false">
      <c r="B10" s="32" t="n">
        <v>2</v>
      </c>
      <c r="C10" s="33" t="s">
        <v>81</v>
      </c>
      <c r="D10" s="27" t="s">
        <v>82</v>
      </c>
      <c r="E10" s="32" t="s">
        <v>28</v>
      </c>
      <c r="F10" s="27" t="s">
        <v>83</v>
      </c>
      <c r="G10" s="27" t="s">
        <v>84</v>
      </c>
    </row>
    <row r="11" customFormat="false" ht="33.75" hidden="false" customHeight="true" outlineLevel="0" collapsed="false">
      <c r="B11" s="32" t="n">
        <v>3</v>
      </c>
      <c r="C11" s="33" t="s">
        <v>85</v>
      </c>
      <c r="D11" s="27" t="s">
        <v>86</v>
      </c>
      <c r="E11" s="32" t="s">
        <v>24</v>
      </c>
      <c r="F11" s="27"/>
      <c r="G11" s="27"/>
    </row>
    <row r="12" customFormat="false" ht="33.75" hidden="false" customHeight="true" outlineLevel="0" collapsed="false">
      <c r="B12" s="32" t="n">
        <v>4</v>
      </c>
      <c r="C12" s="33" t="s">
        <v>87</v>
      </c>
      <c r="D12" s="27" t="s">
        <v>88</v>
      </c>
      <c r="E12" s="32" t="s">
        <v>24</v>
      </c>
      <c r="F12" s="27"/>
      <c r="G12" s="27"/>
    </row>
    <row r="13" customFormat="false" ht="33.75" hidden="false" customHeight="true" outlineLevel="0" collapsed="false">
      <c r="B13" s="32" t="n">
        <v>5</v>
      </c>
      <c r="C13" s="33" t="s">
        <v>89</v>
      </c>
      <c r="D13" s="27" t="s">
        <v>90</v>
      </c>
      <c r="E13" s="32" t="s">
        <v>24</v>
      </c>
      <c r="F13" s="27"/>
      <c r="G13" s="27"/>
    </row>
    <row r="14" customFormat="false" ht="21.75" hidden="false" customHeight="true" outlineLevel="0" collapsed="false">
      <c r="B14" s="34" t="s">
        <v>91</v>
      </c>
      <c r="C14" s="34"/>
      <c r="D14" s="34"/>
      <c r="E14" s="34"/>
      <c r="F14" s="34"/>
      <c r="G14" s="34"/>
    </row>
    <row r="15" customFormat="false" ht="33.75" hidden="false" customHeight="true" outlineLevel="0" collapsed="false">
      <c r="B15" s="32" t="n">
        <v>6</v>
      </c>
      <c r="C15" s="33" t="s">
        <v>92</v>
      </c>
      <c r="D15" s="27" t="s">
        <v>93</v>
      </c>
      <c r="E15" s="32" t="s">
        <v>24</v>
      </c>
      <c r="F15" s="27"/>
      <c r="G15" s="27"/>
    </row>
    <row r="16" customFormat="false" ht="33.75" hidden="false" customHeight="true" outlineLevel="0" collapsed="false">
      <c r="B16" s="32" t="n">
        <v>7</v>
      </c>
      <c r="C16" s="33" t="s">
        <v>94</v>
      </c>
      <c r="D16" s="27" t="s">
        <v>95</v>
      </c>
      <c r="E16" s="32" t="s">
        <v>24</v>
      </c>
      <c r="F16" s="27"/>
      <c r="G16" s="27"/>
    </row>
    <row r="17" customFormat="false" ht="33.75" hidden="false" customHeight="true" outlineLevel="0" collapsed="false">
      <c r="B17" s="32" t="n">
        <v>8</v>
      </c>
      <c r="C17" s="33" t="s">
        <v>96</v>
      </c>
      <c r="D17" s="27" t="s">
        <v>97</v>
      </c>
      <c r="E17" s="32" t="s">
        <v>24</v>
      </c>
      <c r="F17" s="27"/>
      <c r="G17" s="27"/>
    </row>
    <row r="18" customFormat="false" ht="33.75" hidden="false" customHeight="true" outlineLevel="0" collapsed="false">
      <c r="B18" s="32" t="n">
        <v>9</v>
      </c>
      <c r="C18" s="33" t="s">
        <v>98</v>
      </c>
      <c r="D18" s="27" t="s">
        <v>99</v>
      </c>
      <c r="E18" s="32" t="s">
        <v>24</v>
      </c>
      <c r="F18" s="27"/>
      <c r="G18" s="27"/>
    </row>
    <row r="19" customFormat="false" ht="33.75" hidden="false" customHeight="true" outlineLevel="0" collapsed="false">
      <c r="B19" s="32" t="n">
        <v>10</v>
      </c>
      <c r="C19" s="33" t="s">
        <v>100</v>
      </c>
      <c r="D19" s="27" t="s">
        <v>101</v>
      </c>
      <c r="E19" s="32" t="s">
        <v>24</v>
      </c>
      <c r="F19" s="27"/>
      <c r="G19" s="27"/>
    </row>
    <row r="20" customFormat="false" ht="33.75" hidden="false" customHeight="true" outlineLevel="0" collapsed="false">
      <c r="B20" s="32" t="n">
        <v>11</v>
      </c>
      <c r="C20" s="33" t="s">
        <v>102</v>
      </c>
      <c r="D20" s="27" t="s">
        <v>103</v>
      </c>
      <c r="E20" s="32" t="s">
        <v>24</v>
      </c>
      <c r="F20" s="27"/>
      <c r="G20" s="27"/>
    </row>
    <row r="21" customFormat="false" ht="21.75" hidden="false" customHeight="true" outlineLevel="0" collapsed="false">
      <c r="B21" s="35" t="s">
        <v>104</v>
      </c>
      <c r="C21" s="35"/>
      <c r="D21" s="35"/>
      <c r="E21" s="35"/>
      <c r="F21" s="35"/>
      <c r="G21" s="35"/>
    </row>
    <row r="22" customFormat="false" ht="33.75" hidden="false" customHeight="true" outlineLevel="0" collapsed="false">
      <c r="B22" s="32" t="n">
        <v>12</v>
      </c>
      <c r="C22" s="33" t="s">
        <v>105</v>
      </c>
      <c r="D22" s="27" t="s">
        <v>106</v>
      </c>
      <c r="E22" s="32" t="s">
        <v>24</v>
      </c>
      <c r="F22" s="27"/>
      <c r="G22" s="27"/>
    </row>
    <row r="23" customFormat="false" ht="33.75" hidden="false" customHeight="true" outlineLevel="0" collapsed="false">
      <c r="B23" s="32" t="n">
        <v>13</v>
      </c>
      <c r="C23" s="33" t="s">
        <v>107</v>
      </c>
      <c r="D23" s="27" t="s">
        <v>108</v>
      </c>
      <c r="E23" s="32" t="s">
        <v>24</v>
      </c>
      <c r="F23" s="27"/>
      <c r="G23" s="27"/>
    </row>
    <row r="24" customFormat="false" ht="33.75" hidden="false" customHeight="true" outlineLevel="0" collapsed="false">
      <c r="B24" s="32" t="n">
        <v>14</v>
      </c>
      <c r="C24" s="33" t="s">
        <v>109</v>
      </c>
      <c r="D24" s="27" t="s">
        <v>110</v>
      </c>
      <c r="E24" s="32" t="s">
        <v>28</v>
      </c>
      <c r="F24" s="27" t="s">
        <v>141</v>
      </c>
      <c r="G24" s="27" t="s">
        <v>142</v>
      </c>
    </row>
    <row r="25" customFormat="false" ht="33.75" hidden="false" customHeight="true" outlineLevel="0" collapsed="false">
      <c r="B25" s="32" t="n">
        <v>15</v>
      </c>
      <c r="C25" s="33" t="s">
        <v>111</v>
      </c>
      <c r="D25" s="27" t="s">
        <v>112</v>
      </c>
      <c r="E25" s="32" t="s">
        <v>30</v>
      </c>
      <c r="F25" s="27"/>
      <c r="G25" s="27"/>
    </row>
    <row r="26" customFormat="false" ht="33.75" hidden="false" customHeight="true" outlineLevel="0" collapsed="false">
      <c r="B26" s="32" t="n">
        <v>16</v>
      </c>
      <c r="C26" s="33" t="s">
        <v>113</v>
      </c>
      <c r="D26" s="27" t="s">
        <v>114</v>
      </c>
      <c r="E26" s="32" t="s">
        <v>30</v>
      </c>
      <c r="F26" s="27"/>
      <c r="G26" s="27"/>
    </row>
    <row r="27" customFormat="false" ht="21.75" hidden="false" customHeight="true" outlineLevel="0" collapsed="false">
      <c r="B27" s="36" t="s">
        <v>117</v>
      </c>
      <c r="C27" s="36"/>
      <c r="D27" s="36"/>
      <c r="E27" s="36"/>
      <c r="F27" s="36"/>
      <c r="G27" s="36"/>
    </row>
    <row r="28" customFormat="false" ht="33.75" hidden="false" customHeight="true" outlineLevel="0" collapsed="false">
      <c r="B28" s="32" t="n">
        <v>17</v>
      </c>
      <c r="C28" s="33" t="s">
        <v>118</v>
      </c>
      <c r="D28" s="27" t="s">
        <v>119</v>
      </c>
      <c r="E28" s="32" t="s">
        <v>28</v>
      </c>
      <c r="F28" s="27" t="s">
        <v>120</v>
      </c>
      <c r="G28" s="27" t="s">
        <v>121</v>
      </c>
    </row>
    <row r="29" customFormat="false" ht="33.75" hidden="false" customHeight="true" outlineLevel="0" collapsed="false">
      <c r="B29" s="32" t="n">
        <v>18</v>
      </c>
      <c r="C29" s="33" t="s">
        <v>122</v>
      </c>
      <c r="D29" s="27" t="s">
        <v>123</v>
      </c>
      <c r="E29" s="32" t="s">
        <v>24</v>
      </c>
      <c r="F29" s="27"/>
      <c r="G29" s="27"/>
    </row>
    <row r="30" customFormat="false" ht="33.75" hidden="false" customHeight="true" outlineLevel="0" collapsed="false">
      <c r="B30" s="32" t="n">
        <v>19</v>
      </c>
      <c r="C30" s="33" t="s">
        <v>124</v>
      </c>
      <c r="D30" s="27" t="s">
        <v>125</v>
      </c>
      <c r="E30" s="32" t="s">
        <v>28</v>
      </c>
      <c r="F30" s="27" t="s">
        <v>143</v>
      </c>
      <c r="G30" s="27" t="s">
        <v>144</v>
      </c>
    </row>
    <row r="31" customFormat="false" ht="33.75" hidden="false" customHeight="true" outlineLevel="0" collapsed="false">
      <c r="B31" s="32" t="n">
        <v>20</v>
      </c>
      <c r="C31" s="33" t="s">
        <v>126</v>
      </c>
      <c r="D31" s="27" t="s">
        <v>127</v>
      </c>
      <c r="E31" s="32" t="s">
        <v>24</v>
      </c>
      <c r="F31" s="27"/>
      <c r="G31" s="27"/>
    </row>
    <row r="32" customFormat="false" ht="33.75" hidden="false" customHeight="true" outlineLevel="0" collapsed="false">
      <c r="B32" s="32" t="n">
        <v>21</v>
      </c>
      <c r="C32" s="33" t="s">
        <v>128</v>
      </c>
      <c r="D32" s="27" t="s">
        <v>129</v>
      </c>
      <c r="E32" s="32" t="s">
        <v>28</v>
      </c>
      <c r="F32" s="27" t="s">
        <v>130</v>
      </c>
      <c r="G32" s="27" t="s">
        <v>131</v>
      </c>
    </row>
    <row r="33" customFormat="false" ht="33.75" hidden="false" customHeight="true" outlineLevel="0" collapsed="false">
      <c r="B33" s="32" t="n">
        <v>22</v>
      </c>
      <c r="C33" s="33" t="s">
        <v>132</v>
      </c>
      <c r="D33" s="27" t="s">
        <v>133</v>
      </c>
      <c r="E33" s="32" t="s">
        <v>24</v>
      </c>
      <c r="F33" s="27"/>
      <c r="G33" s="27"/>
    </row>
    <row r="35" customFormat="false" ht="15" hidden="false" customHeight="true" outlineLevel="0" collapsed="false">
      <c r="B35" s="28" t="s">
        <v>134</v>
      </c>
      <c r="C35" s="28"/>
      <c r="D35" s="37" t="n">
        <f aca="false">COUNTIF(E8:E33,"✗ No cumple")</f>
        <v>0</v>
      </c>
    </row>
    <row r="36" customFormat="false" ht="15" hidden="false" customHeight="true" outlineLevel="0" collapsed="false">
      <c r="B36" s="28" t="s">
        <v>135</v>
      </c>
      <c r="C36" s="28"/>
      <c r="D36" s="38" t="n">
        <f aca="false">COUNTIF(E8:E33,"⚠ Revisar")</f>
        <v>6</v>
      </c>
    </row>
    <row r="37" customFormat="false" ht="24" hidden="false" customHeight="true" outlineLevel="0" collapsed="false">
      <c r="B37" s="39" t="s">
        <v>136</v>
      </c>
      <c r="C37" s="39"/>
      <c r="D37" s="40" t="str">
        <f aca="false">IF(D35&gt;0,"RECHAZADA - corregir ambigüedades críticas",IF(D36&gt;0,"APROBADA CON OBSERVACIONES - aclarar pendientes","APROBADA - lista para BDD"))</f>
        <v>APROBADA CON OBSERVACIONES - aclarar pendientes</v>
      </c>
      <c r="E37" s="40"/>
      <c r="F37" s="40"/>
      <c r="G37" s="40"/>
    </row>
  </sheetData>
  <mergeCells count="13">
    <mergeCell ref="B2:G2"/>
    <mergeCell ref="B3:C3"/>
    <mergeCell ref="E3:F3"/>
    <mergeCell ref="B4:G4"/>
    <mergeCell ref="B5:G5"/>
    <mergeCell ref="B8:G8"/>
    <mergeCell ref="B14:G14"/>
    <mergeCell ref="B21:G21"/>
    <mergeCell ref="B27:G27"/>
    <mergeCell ref="B35:C35"/>
    <mergeCell ref="B36:C36"/>
    <mergeCell ref="B37:C37"/>
    <mergeCell ref="D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34"/>
  </cols>
  <sheetData>
    <row r="2" customFormat="false" ht="33.75" hidden="false" customHeight="true" outlineLevel="0" collapsed="false">
      <c r="B2" s="14" t="s">
        <v>66</v>
      </c>
      <c r="C2" s="14"/>
      <c r="D2" s="14"/>
      <c r="E2" s="14"/>
      <c r="F2" s="14"/>
      <c r="G2" s="14"/>
    </row>
    <row r="3" customFormat="false" ht="15" hidden="false" customHeight="true" outlineLevel="0" collapsed="false">
      <c r="B3" s="28" t="s">
        <v>67</v>
      </c>
      <c r="C3" s="28"/>
      <c r="D3" s="29" t="s">
        <v>145</v>
      </c>
      <c r="E3" s="28" t="s">
        <v>69</v>
      </c>
      <c r="F3" s="28"/>
      <c r="G3" s="29" t="s">
        <v>5</v>
      </c>
    </row>
    <row r="4" customFormat="false" ht="15" hidden="false" customHeight="true" outlineLevel="0" collapsed="false">
      <c r="B4" s="28" t="s">
        <v>70</v>
      </c>
      <c r="C4" s="28"/>
      <c r="D4" s="28"/>
      <c r="E4" s="28"/>
      <c r="F4" s="28"/>
      <c r="G4" s="28"/>
    </row>
    <row r="5" customFormat="false" ht="30" hidden="false" customHeight="true" outlineLevel="0" collapsed="false">
      <c r="B5" s="30" t="s">
        <v>146</v>
      </c>
      <c r="C5" s="30"/>
      <c r="D5" s="30"/>
      <c r="E5" s="30"/>
      <c r="F5" s="30"/>
      <c r="G5" s="30"/>
    </row>
    <row r="7" customFormat="false" ht="24" hidden="false" customHeight="true" outlineLevel="0" collapsed="false">
      <c r="B7" s="22" t="s">
        <v>72</v>
      </c>
      <c r="C7" s="22" t="s">
        <v>73</v>
      </c>
      <c r="D7" s="22" t="s">
        <v>74</v>
      </c>
      <c r="E7" s="22" t="s">
        <v>75</v>
      </c>
      <c r="F7" s="22" t="s">
        <v>76</v>
      </c>
      <c r="G7" s="22" t="s">
        <v>77</v>
      </c>
    </row>
    <row r="8" customFormat="false" ht="21.75" hidden="false" customHeight="true" outlineLevel="0" collapsed="false">
      <c r="B8" s="31" t="s">
        <v>78</v>
      </c>
      <c r="C8" s="31"/>
      <c r="D8" s="31"/>
      <c r="E8" s="31"/>
      <c r="F8" s="31"/>
      <c r="G8" s="31"/>
    </row>
    <row r="9" customFormat="false" ht="33.75" hidden="false" customHeight="true" outlineLevel="0" collapsed="false">
      <c r="B9" s="32" t="n">
        <v>1</v>
      </c>
      <c r="C9" s="33" t="s">
        <v>79</v>
      </c>
      <c r="D9" s="27" t="s">
        <v>80</v>
      </c>
      <c r="E9" s="32" t="s">
        <v>24</v>
      </c>
      <c r="F9" s="27"/>
      <c r="G9" s="27"/>
    </row>
    <row r="10" customFormat="false" ht="33.75" hidden="false" customHeight="true" outlineLevel="0" collapsed="false">
      <c r="B10" s="32" t="n">
        <v>2</v>
      </c>
      <c r="C10" s="33" t="s">
        <v>81</v>
      </c>
      <c r="D10" s="27" t="s">
        <v>82</v>
      </c>
      <c r="E10" s="32" t="s">
        <v>28</v>
      </c>
      <c r="F10" s="27" t="s">
        <v>83</v>
      </c>
      <c r="G10" s="27" t="s">
        <v>84</v>
      </c>
    </row>
    <row r="11" customFormat="false" ht="33.75" hidden="false" customHeight="true" outlineLevel="0" collapsed="false">
      <c r="B11" s="32" t="n">
        <v>3</v>
      </c>
      <c r="C11" s="33" t="s">
        <v>85</v>
      </c>
      <c r="D11" s="27" t="s">
        <v>86</v>
      </c>
      <c r="E11" s="32" t="s">
        <v>24</v>
      </c>
      <c r="F11" s="27"/>
      <c r="G11" s="27"/>
    </row>
    <row r="12" customFormat="false" ht="33.75" hidden="false" customHeight="true" outlineLevel="0" collapsed="false">
      <c r="B12" s="32" t="n">
        <v>4</v>
      </c>
      <c r="C12" s="33" t="s">
        <v>87</v>
      </c>
      <c r="D12" s="27" t="s">
        <v>88</v>
      </c>
      <c r="E12" s="32" t="s">
        <v>24</v>
      </c>
      <c r="F12" s="27"/>
      <c r="G12" s="27"/>
    </row>
    <row r="13" customFormat="false" ht="33.75" hidden="false" customHeight="true" outlineLevel="0" collapsed="false">
      <c r="B13" s="32" t="n">
        <v>5</v>
      </c>
      <c r="C13" s="33" t="s">
        <v>89</v>
      </c>
      <c r="D13" s="27" t="s">
        <v>90</v>
      </c>
      <c r="E13" s="32" t="s">
        <v>24</v>
      </c>
      <c r="F13" s="27"/>
      <c r="G13" s="27"/>
    </row>
    <row r="14" customFormat="false" ht="21.75" hidden="false" customHeight="true" outlineLevel="0" collapsed="false">
      <c r="B14" s="34" t="s">
        <v>91</v>
      </c>
      <c r="C14" s="34"/>
      <c r="D14" s="34"/>
      <c r="E14" s="34"/>
      <c r="F14" s="34"/>
      <c r="G14" s="34"/>
    </row>
    <row r="15" customFormat="false" ht="33.75" hidden="false" customHeight="true" outlineLevel="0" collapsed="false">
      <c r="B15" s="32" t="n">
        <v>6</v>
      </c>
      <c r="C15" s="33" t="s">
        <v>92</v>
      </c>
      <c r="D15" s="27" t="s">
        <v>93</v>
      </c>
      <c r="E15" s="32" t="s">
        <v>24</v>
      </c>
      <c r="F15" s="27"/>
      <c r="G15" s="27"/>
    </row>
    <row r="16" customFormat="false" ht="33.75" hidden="false" customHeight="true" outlineLevel="0" collapsed="false">
      <c r="B16" s="32" t="n">
        <v>7</v>
      </c>
      <c r="C16" s="33" t="s">
        <v>94</v>
      </c>
      <c r="D16" s="27" t="s">
        <v>95</v>
      </c>
      <c r="E16" s="32" t="s">
        <v>24</v>
      </c>
      <c r="F16" s="27"/>
      <c r="G16" s="27"/>
    </row>
    <row r="17" customFormat="false" ht="33.75" hidden="false" customHeight="true" outlineLevel="0" collapsed="false">
      <c r="B17" s="32" t="n">
        <v>8</v>
      </c>
      <c r="C17" s="33" t="s">
        <v>96</v>
      </c>
      <c r="D17" s="27" t="s">
        <v>97</v>
      </c>
      <c r="E17" s="32" t="s">
        <v>24</v>
      </c>
      <c r="F17" s="27"/>
      <c r="G17" s="27"/>
    </row>
    <row r="18" customFormat="false" ht="33.75" hidden="false" customHeight="true" outlineLevel="0" collapsed="false">
      <c r="B18" s="32" t="n">
        <v>9</v>
      </c>
      <c r="C18" s="33" t="s">
        <v>98</v>
      </c>
      <c r="D18" s="27" t="s">
        <v>99</v>
      </c>
      <c r="E18" s="32" t="s">
        <v>24</v>
      </c>
      <c r="F18" s="27"/>
      <c r="G18" s="27"/>
    </row>
    <row r="19" customFormat="false" ht="33.75" hidden="false" customHeight="true" outlineLevel="0" collapsed="false">
      <c r="B19" s="32" t="n">
        <v>10</v>
      </c>
      <c r="C19" s="33" t="s">
        <v>100</v>
      </c>
      <c r="D19" s="27" t="s">
        <v>101</v>
      </c>
      <c r="E19" s="32" t="s">
        <v>24</v>
      </c>
      <c r="F19" s="27"/>
      <c r="G19" s="27"/>
    </row>
    <row r="20" customFormat="false" ht="33.75" hidden="false" customHeight="true" outlineLevel="0" collapsed="false">
      <c r="B20" s="32" t="n">
        <v>11</v>
      </c>
      <c r="C20" s="33" t="s">
        <v>102</v>
      </c>
      <c r="D20" s="27" t="s">
        <v>103</v>
      </c>
      <c r="E20" s="32" t="s">
        <v>24</v>
      </c>
      <c r="F20" s="27"/>
      <c r="G20" s="27"/>
    </row>
    <row r="21" customFormat="false" ht="21.75" hidden="false" customHeight="true" outlineLevel="0" collapsed="false">
      <c r="B21" s="35" t="s">
        <v>104</v>
      </c>
      <c r="C21" s="35"/>
      <c r="D21" s="35"/>
      <c r="E21" s="35"/>
      <c r="F21" s="35"/>
      <c r="G21" s="35"/>
    </row>
    <row r="22" customFormat="false" ht="33.75" hidden="false" customHeight="true" outlineLevel="0" collapsed="false">
      <c r="B22" s="32" t="n">
        <v>12</v>
      </c>
      <c r="C22" s="33" t="s">
        <v>105</v>
      </c>
      <c r="D22" s="27" t="s">
        <v>106</v>
      </c>
      <c r="E22" s="32" t="s">
        <v>24</v>
      </c>
      <c r="F22" s="27"/>
      <c r="G22" s="27"/>
    </row>
    <row r="23" customFormat="false" ht="33.75" hidden="false" customHeight="true" outlineLevel="0" collapsed="false">
      <c r="B23" s="32" t="n">
        <v>13</v>
      </c>
      <c r="C23" s="33" t="s">
        <v>107</v>
      </c>
      <c r="D23" s="27" t="s">
        <v>108</v>
      </c>
      <c r="E23" s="32" t="s">
        <v>24</v>
      </c>
      <c r="F23" s="27"/>
      <c r="G23" s="27"/>
    </row>
    <row r="24" customFormat="false" ht="33.75" hidden="false" customHeight="true" outlineLevel="0" collapsed="false">
      <c r="B24" s="32" t="n">
        <v>14</v>
      </c>
      <c r="C24" s="33" t="s">
        <v>109</v>
      </c>
      <c r="D24" s="27" t="s">
        <v>110</v>
      </c>
      <c r="E24" s="32" t="s">
        <v>30</v>
      </c>
      <c r="F24" s="27"/>
      <c r="G24" s="27"/>
    </row>
    <row r="25" customFormat="false" ht="33.75" hidden="false" customHeight="true" outlineLevel="0" collapsed="false">
      <c r="B25" s="32" t="n">
        <v>15</v>
      </c>
      <c r="C25" s="33" t="s">
        <v>111</v>
      </c>
      <c r="D25" s="27" t="s">
        <v>112</v>
      </c>
      <c r="E25" s="32" t="s">
        <v>24</v>
      </c>
      <c r="F25" s="27"/>
      <c r="G25" s="27"/>
    </row>
    <row r="26" customFormat="false" ht="33.75" hidden="false" customHeight="true" outlineLevel="0" collapsed="false">
      <c r="B26" s="32" t="n">
        <v>16</v>
      </c>
      <c r="C26" s="33" t="s">
        <v>113</v>
      </c>
      <c r="D26" s="27" t="s">
        <v>114</v>
      </c>
      <c r="E26" s="32" t="s">
        <v>28</v>
      </c>
      <c r="F26" s="27" t="s">
        <v>147</v>
      </c>
      <c r="G26" s="27" t="s">
        <v>148</v>
      </c>
    </row>
    <row r="27" customFormat="false" ht="21.75" hidden="false" customHeight="true" outlineLevel="0" collapsed="false">
      <c r="B27" s="36" t="s">
        <v>117</v>
      </c>
      <c r="C27" s="36"/>
      <c r="D27" s="36"/>
      <c r="E27" s="36"/>
      <c r="F27" s="36"/>
      <c r="G27" s="36"/>
    </row>
    <row r="28" customFormat="false" ht="33.75" hidden="false" customHeight="true" outlineLevel="0" collapsed="false">
      <c r="B28" s="32" t="n">
        <v>17</v>
      </c>
      <c r="C28" s="33" t="s">
        <v>118</v>
      </c>
      <c r="D28" s="27" t="s">
        <v>119</v>
      </c>
      <c r="E28" s="32" t="s">
        <v>28</v>
      </c>
      <c r="F28" s="27" t="s">
        <v>120</v>
      </c>
      <c r="G28" s="27" t="s">
        <v>121</v>
      </c>
    </row>
    <row r="29" customFormat="false" ht="33.75" hidden="false" customHeight="true" outlineLevel="0" collapsed="false">
      <c r="B29" s="32" t="n">
        <v>18</v>
      </c>
      <c r="C29" s="33" t="s">
        <v>122</v>
      </c>
      <c r="D29" s="27" t="s">
        <v>123</v>
      </c>
      <c r="E29" s="32" t="s">
        <v>24</v>
      </c>
      <c r="F29" s="27"/>
      <c r="G29" s="27"/>
    </row>
    <row r="30" customFormat="false" ht="33.75" hidden="false" customHeight="true" outlineLevel="0" collapsed="false">
      <c r="B30" s="32" t="n">
        <v>19</v>
      </c>
      <c r="C30" s="33" t="s">
        <v>124</v>
      </c>
      <c r="D30" s="27" t="s">
        <v>125</v>
      </c>
      <c r="E30" s="32" t="s">
        <v>30</v>
      </c>
      <c r="F30" s="27"/>
      <c r="G30" s="27"/>
    </row>
    <row r="31" customFormat="false" ht="33.75" hidden="false" customHeight="true" outlineLevel="0" collapsed="false">
      <c r="B31" s="32" t="n">
        <v>20</v>
      </c>
      <c r="C31" s="33" t="s">
        <v>126</v>
      </c>
      <c r="D31" s="27" t="s">
        <v>127</v>
      </c>
      <c r="E31" s="32" t="s">
        <v>24</v>
      </c>
      <c r="F31" s="27"/>
      <c r="G31" s="27"/>
    </row>
    <row r="32" customFormat="false" ht="33.75" hidden="false" customHeight="true" outlineLevel="0" collapsed="false">
      <c r="B32" s="32" t="n">
        <v>21</v>
      </c>
      <c r="C32" s="33" t="s">
        <v>128</v>
      </c>
      <c r="D32" s="27" t="s">
        <v>129</v>
      </c>
      <c r="E32" s="32" t="s">
        <v>28</v>
      </c>
      <c r="F32" s="27" t="s">
        <v>130</v>
      </c>
      <c r="G32" s="27" t="s">
        <v>131</v>
      </c>
    </row>
    <row r="33" customFormat="false" ht="33.75" hidden="false" customHeight="true" outlineLevel="0" collapsed="false">
      <c r="B33" s="32" t="n">
        <v>22</v>
      </c>
      <c r="C33" s="33" t="s">
        <v>132</v>
      </c>
      <c r="D33" s="27" t="s">
        <v>133</v>
      </c>
      <c r="E33" s="32" t="s">
        <v>24</v>
      </c>
      <c r="F33" s="27"/>
      <c r="G33" s="27"/>
    </row>
    <row r="35" customFormat="false" ht="15" hidden="false" customHeight="true" outlineLevel="0" collapsed="false">
      <c r="B35" s="28" t="s">
        <v>134</v>
      </c>
      <c r="C35" s="28"/>
      <c r="D35" s="37" t="n">
        <f aca="false">COUNTIF(E8:E33,"✗ No cumple")</f>
        <v>0</v>
      </c>
    </row>
    <row r="36" customFormat="false" ht="15" hidden="false" customHeight="true" outlineLevel="0" collapsed="false">
      <c r="B36" s="28" t="s">
        <v>135</v>
      </c>
      <c r="C36" s="28"/>
      <c r="D36" s="38" t="n">
        <f aca="false">COUNTIF(E8:E33,"⚠ Revisar")</f>
        <v>4</v>
      </c>
    </row>
    <row r="37" customFormat="false" ht="24" hidden="false" customHeight="true" outlineLevel="0" collapsed="false">
      <c r="B37" s="39" t="s">
        <v>136</v>
      </c>
      <c r="C37" s="39"/>
      <c r="D37" s="40" t="str">
        <f aca="false">IF(D35&gt;0,"RECHAZADA - corregir ambigüedades críticas",IF(D36&gt;0,"APROBADA CON OBSERVACIONES - aclarar pendientes","APROBADA - lista para BDD"))</f>
        <v>APROBADA CON OBSERVACIONES - aclarar pendientes</v>
      </c>
      <c r="E37" s="40"/>
      <c r="F37" s="40"/>
      <c r="G37" s="40"/>
    </row>
  </sheetData>
  <mergeCells count="13">
    <mergeCell ref="B2:G2"/>
    <mergeCell ref="B3:C3"/>
    <mergeCell ref="E3:F3"/>
    <mergeCell ref="B4:G4"/>
    <mergeCell ref="B5:G5"/>
    <mergeCell ref="B8:G8"/>
    <mergeCell ref="B14:G14"/>
    <mergeCell ref="B21:G21"/>
    <mergeCell ref="B27:G27"/>
    <mergeCell ref="B35:C35"/>
    <mergeCell ref="B36:C36"/>
    <mergeCell ref="B37:C37"/>
    <mergeCell ref="D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34"/>
  </cols>
  <sheetData>
    <row r="2" customFormat="false" ht="33.75" hidden="false" customHeight="true" outlineLevel="0" collapsed="false">
      <c r="B2" s="14" t="s">
        <v>66</v>
      </c>
      <c r="C2" s="14"/>
      <c r="D2" s="14"/>
      <c r="E2" s="14"/>
      <c r="F2" s="14"/>
      <c r="G2" s="14"/>
    </row>
    <row r="3" customFormat="false" ht="15" hidden="false" customHeight="true" outlineLevel="0" collapsed="false">
      <c r="B3" s="28" t="s">
        <v>67</v>
      </c>
      <c r="C3" s="28"/>
      <c r="D3" s="29" t="s">
        <v>149</v>
      </c>
      <c r="E3" s="28" t="s">
        <v>69</v>
      </c>
      <c r="F3" s="28"/>
      <c r="G3" s="29" t="s">
        <v>5</v>
      </c>
    </row>
    <row r="4" customFormat="false" ht="15" hidden="false" customHeight="true" outlineLevel="0" collapsed="false">
      <c r="B4" s="28" t="s">
        <v>70</v>
      </c>
      <c r="C4" s="28"/>
      <c r="D4" s="28"/>
      <c r="E4" s="28"/>
      <c r="F4" s="28"/>
      <c r="G4" s="28"/>
    </row>
    <row r="5" customFormat="false" ht="30" hidden="false" customHeight="true" outlineLevel="0" collapsed="false">
      <c r="B5" s="30" t="s">
        <v>150</v>
      </c>
      <c r="C5" s="30"/>
      <c r="D5" s="30"/>
      <c r="E5" s="30"/>
      <c r="F5" s="30"/>
      <c r="G5" s="30"/>
    </row>
    <row r="7" customFormat="false" ht="24" hidden="false" customHeight="true" outlineLevel="0" collapsed="false">
      <c r="B7" s="22" t="s">
        <v>72</v>
      </c>
      <c r="C7" s="22" t="s">
        <v>73</v>
      </c>
      <c r="D7" s="22" t="s">
        <v>74</v>
      </c>
      <c r="E7" s="22" t="s">
        <v>75</v>
      </c>
      <c r="F7" s="22" t="s">
        <v>76</v>
      </c>
      <c r="G7" s="22" t="s">
        <v>77</v>
      </c>
    </row>
    <row r="8" customFormat="false" ht="21.75" hidden="false" customHeight="true" outlineLevel="0" collapsed="false">
      <c r="B8" s="31" t="s">
        <v>78</v>
      </c>
      <c r="C8" s="31"/>
      <c r="D8" s="31"/>
      <c r="E8" s="31"/>
      <c r="F8" s="31"/>
      <c r="G8" s="31"/>
    </row>
    <row r="9" customFormat="false" ht="33.75" hidden="false" customHeight="true" outlineLevel="0" collapsed="false">
      <c r="B9" s="32" t="n">
        <v>1</v>
      </c>
      <c r="C9" s="33" t="s">
        <v>79</v>
      </c>
      <c r="D9" s="27" t="s">
        <v>80</v>
      </c>
      <c r="E9" s="32" t="s">
        <v>24</v>
      </c>
      <c r="F9" s="27"/>
      <c r="G9" s="27"/>
    </row>
    <row r="10" customFormat="false" ht="33.75" hidden="false" customHeight="true" outlineLevel="0" collapsed="false">
      <c r="B10" s="32" t="n">
        <v>2</v>
      </c>
      <c r="C10" s="33" t="s">
        <v>81</v>
      </c>
      <c r="D10" s="27" t="s">
        <v>82</v>
      </c>
      <c r="E10" s="32" t="s">
        <v>28</v>
      </c>
      <c r="F10" s="27" t="s">
        <v>83</v>
      </c>
      <c r="G10" s="27" t="s">
        <v>84</v>
      </c>
    </row>
    <row r="11" customFormat="false" ht="33.75" hidden="false" customHeight="true" outlineLevel="0" collapsed="false">
      <c r="B11" s="32" t="n">
        <v>3</v>
      </c>
      <c r="C11" s="33" t="s">
        <v>85</v>
      </c>
      <c r="D11" s="27" t="s">
        <v>86</v>
      </c>
      <c r="E11" s="32" t="s">
        <v>24</v>
      </c>
      <c r="F11" s="27"/>
      <c r="G11" s="27"/>
    </row>
    <row r="12" customFormat="false" ht="33.75" hidden="false" customHeight="true" outlineLevel="0" collapsed="false">
      <c r="B12" s="32" t="n">
        <v>4</v>
      </c>
      <c r="C12" s="33" t="s">
        <v>87</v>
      </c>
      <c r="D12" s="27" t="s">
        <v>88</v>
      </c>
      <c r="E12" s="32" t="s">
        <v>24</v>
      </c>
      <c r="F12" s="27"/>
      <c r="G12" s="27"/>
    </row>
    <row r="13" customFormat="false" ht="33.75" hidden="false" customHeight="true" outlineLevel="0" collapsed="false">
      <c r="B13" s="32" t="n">
        <v>5</v>
      </c>
      <c r="C13" s="33" t="s">
        <v>89</v>
      </c>
      <c r="D13" s="27" t="s">
        <v>90</v>
      </c>
      <c r="E13" s="32" t="s">
        <v>24</v>
      </c>
      <c r="F13" s="27"/>
      <c r="G13" s="27"/>
    </row>
    <row r="14" customFormat="false" ht="21.75" hidden="false" customHeight="true" outlineLevel="0" collapsed="false">
      <c r="B14" s="34" t="s">
        <v>91</v>
      </c>
      <c r="C14" s="34"/>
      <c r="D14" s="34"/>
      <c r="E14" s="34"/>
      <c r="F14" s="34"/>
      <c r="G14" s="34"/>
    </row>
    <row r="15" customFormat="false" ht="33.75" hidden="false" customHeight="true" outlineLevel="0" collapsed="false">
      <c r="B15" s="32" t="n">
        <v>6</v>
      </c>
      <c r="C15" s="33" t="s">
        <v>92</v>
      </c>
      <c r="D15" s="27" t="s">
        <v>93</v>
      </c>
      <c r="E15" s="32" t="s">
        <v>24</v>
      </c>
      <c r="F15" s="27"/>
      <c r="G15" s="27"/>
    </row>
    <row r="16" customFormat="false" ht="33.75" hidden="false" customHeight="true" outlineLevel="0" collapsed="false">
      <c r="B16" s="32" t="n">
        <v>7</v>
      </c>
      <c r="C16" s="33" t="s">
        <v>94</v>
      </c>
      <c r="D16" s="27" t="s">
        <v>95</v>
      </c>
      <c r="E16" s="32" t="s">
        <v>24</v>
      </c>
      <c r="F16" s="27"/>
      <c r="G16" s="27"/>
    </row>
    <row r="17" customFormat="false" ht="33.75" hidden="false" customHeight="true" outlineLevel="0" collapsed="false">
      <c r="B17" s="32" t="n">
        <v>8</v>
      </c>
      <c r="C17" s="33" t="s">
        <v>96</v>
      </c>
      <c r="D17" s="27" t="s">
        <v>97</v>
      </c>
      <c r="E17" s="32" t="s">
        <v>24</v>
      </c>
      <c r="F17" s="27"/>
      <c r="G17" s="27"/>
    </row>
    <row r="18" customFormat="false" ht="33.75" hidden="false" customHeight="true" outlineLevel="0" collapsed="false">
      <c r="B18" s="32" t="n">
        <v>9</v>
      </c>
      <c r="C18" s="33" t="s">
        <v>98</v>
      </c>
      <c r="D18" s="27" t="s">
        <v>99</v>
      </c>
      <c r="E18" s="32" t="s">
        <v>24</v>
      </c>
      <c r="F18" s="27"/>
      <c r="G18" s="27"/>
    </row>
    <row r="19" customFormat="false" ht="33.75" hidden="false" customHeight="true" outlineLevel="0" collapsed="false">
      <c r="B19" s="32" t="n">
        <v>10</v>
      </c>
      <c r="C19" s="33" t="s">
        <v>100</v>
      </c>
      <c r="D19" s="27" t="s">
        <v>101</v>
      </c>
      <c r="E19" s="32" t="s">
        <v>24</v>
      </c>
      <c r="F19" s="27"/>
      <c r="G19" s="27"/>
    </row>
    <row r="20" customFormat="false" ht="33.75" hidden="false" customHeight="true" outlineLevel="0" collapsed="false">
      <c r="B20" s="32" t="n">
        <v>11</v>
      </c>
      <c r="C20" s="33" t="s">
        <v>102</v>
      </c>
      <c r="D20" s="27" t="s">
        <v>103</v>
      </c>
      <c r="E20" s="32" t="s">
        <v>24</v>
      </c>
      <c r="F20" s="27"/>
      <c r="G20" s="27"/>
    </row>
    <row r="21" customFormat="false" ht="21.75" hidden="false" customHeight="true" outlineLevel="0" collapsed="false">
      <c r="B21" s="35" t="s">
        <v>104</v>
      </c>
      <c r="C21" s="35"/>
      <c r="D21" s="35"/>
      <c r="E21" s="35"/>
      <c r="F21" s="35"/>
      <c r="G21" s="35"/>
    </row>
    <row r="22" customFormat="false" ht="33.75" hidden="false" customHeight="true" outlineLevel="0" collapsed="false">
      <c r="B22" s="32" t="n">
        <v>12</v>
      </c>
      <c r="C22" s="33" t="s">
        <v>105</v>
      </c>
      <c r="D22" s="27" t="s">
        <v>106</v>
      </c>
      <c r="E22" s="32" t="s">
        <v>24</v>
      </c>
      <c r="F22" s="27"/>
      <c r="G22" s="27"/>
    </row>
    <row r="23" customFormat="false" ht="33.75" hidden="false" customHeight="true" outlineLevel="0" collapsed="false">
      <c r="B23" s="32" t="n">
        <v>13</v>
      </c>
      <c r="C23" s="33" t="s">
        <v>107</v>
      </c>
      <c r="D23" s="27" t="s">
        <v>108</v>
      </c>
      <c r="E23" s="32" t="s">
        <v>24</v>
      </c>
      <c r="F23" s="27"/>
      <c r="G23" s="27"/>
    </row>
    <row r="24" customFormat="false" ht="33.75" hidden="false" customHeight="true" outlineLevel="0" collapsed="false">
      <c r="B24" s="32" t="n">
        <v>14</v>
      </c>
      <c r="C24" s="33" t="s">
        <v>109</v>
      </c>
      <c r="D24" s="27" t="s">
        <v>110</v>
      </c>
      <c r="E24" s="32" t="s">
        <v>28</v>
      </c>
      <c r="F24" s="27" t="s">
        <v>151</v>
      </c>
      <c r="G24" s="27" t="s">
        <v>152</v>
      </c>
    </row>
    <row r="25" customFormat="false" ht="33.75" hidden="false" customHeight="true" outlineLevel="0" collapsed="false">
      <c r="B25" s="32" t="n">
        <v>15</v>
      </c>
      <c r="C25" s="33" t="s">
        <v>111</v>
      </c>
      <c r="D25" s="27" t="s">
        <v>112</v>
      </c>
      <c r="E25" s="32" t="s">
        <v>24</v>
      </c>
      <c r="F25" s="27"/>
      <c r="G25" s="27"/>
    </row>
    <row r="26" customFormat="false" ht="33.75" hidden="false" customHeight="true" outlineLevel="0" collapsed="false">
      <c r="B26" s="32" t="n">
        <v>16</v>
      </c>
      <c r="C26" s="33" t="s">
        <v>113</v>
      </c>
      <c r="D26" s="27" t="s">
        <v>114</v>
      </c>
      <c r="E26" s="32" t="s">
        <v>28</v>
      </c>
      <c r="F26" s="27" t="s">
        <v>153</v>
      </c>
      <c r="G26" s="27" t="s">
        <v>154</v>
      </c>
    </row>
    <row r="27" customFormat="false" ht="21.75" hidden="false" customHeight="true" outlineLevel="0" collapsed="false">
      <c r="B27" s="36" t="s">
        <v>117</v>
      </c>
      <c r="C27" s="36"/>
      <c r="D27" s="36"/>
      <c r="E27" s="36"/>
      <c r="F27" s="36"/>
      <c r="G27" s="36"/>
    </row>
    <row r="28" customFormat="false" ht="33.75" hidden="false" customHeight="true" outlineLevel="0" collapsed="false">
      <c r="B28" s="32" t="n">
        <v>17</v>
      </c>
      <c r="C28" s="33" t="s">
        <v>118</v>
      </c>
      <c r="D28" s="27" t="s">
        <v>119</v>
      </c>
      <c r="E28" s="32" t="s">
        <v>28</v>
      </c>
      <c r="F28" s="27" t="s">
        <v>120</v>
      </c>
      <c r="G28" s="27" t="s">
        <v>121</v>
      </c>
    </row>
    <row r="29" customFormat="false" ht="33.75" hidden="false" customHeight="true" outlineLevel="0" collapsed="false">
      <c r="B29" s="32" t="n">
        <v>18</v>
      </c>
      <c r="C29" s="33" t="s">
        <v>122</v>
      </c>
      <c r="D29" s="27" t="s">
        <v>123</v>
      </c>
      <c r="E29" s="32" t="s">
        <v>28</v>
      </c>
      <c r="F29" s="27" t="s">
        <v>155</v>
      </c>
      <c r="G29" s="27" t="s">
        <v>156</v>
      </c>
    </row>
    <row r="30" customFormat="false" ht="33.75" hidden="false" customHeight="true" outlineLevel="0" collapsed="false">
      <c r="B30" s="32" t="n">
        <v>19</v>
      </c>
      <c r="C30" s="33" t="s">
        <v>124</v>
      </c>
      <c r="D30" s="27" t="s">
        <v>125</v>
      </c>
      <c r="E30" s="32" t="s">
        <v>28</v>
      </c>
      <c r="F30" s="27" t="s">
        <v>157</v>
      </c>
      <c r="G30" s="27" t="s">
        <v>158</v>
      </c>
    </row>
    <row r="31" customFormat="false" ht="33.75" hidden="false" customHeight="true" outlineLevel="0" collapsed="false">
      <c r="B31" s="32" t="n">
        <v>20</v>
      </c>
      <c r="C31" s="33" t="s">
        <v>126</v>
      </c>
      <c r="D31" s="27" t="s">
        <v>127</v>
      </c>
      <c r="E31" s="32" t="s">
        <v>24</v>
      </c>
      <c r="F31" s="27"/>
      <c r="G31" s="27"/>
    </row>
    <row r="32" customFormat="false" ht="33.75" hidden="false" customHeight="true" outlineLevel="0" collapsed="false">
      <c r="B32" s="32" t="n">
        <v>21</v>
      </c>
      <c r="C32" s="33" t="s">
        <v>128</v>
      </c>
      <c r="D32" s="27" t="s">
        <v>129</v>
      </c>
      <c r="E32" s="32" t="s">
        <v>28</v>
      </c>
      <c r="F32" s="27" t="s">
        <v>130</v>
      </c>
      <c r="G32" s="27" t="s">
        <v>131</v>
      </c>
    </row>
    <row r="33" customFormat="false" ht="33.75" hidden="false" customHeight="true" outlineLevel="0" collapsed="false">
      <c r="B33" s="32" t="n">
        <v>22</v>
      </c>
      <c r="C33" s="33" t="s">
        <v>132</v>
      </c>
      <c r="D33" s="27" t="s">
        <v>133</v>
      </c>
      <c r="E33" s="32" t="s">
        <v>24</v>
      </c>
      <c r="F33" s="27"/>
      <c r="G33" s="27"/>
    </row>
    <row r="35" customFormat="false" ht="15" hidden="false" customHeight="true" outlineLevel="0" collapsed="false">
      <c r="B35" s="28" t="s">
        <v>134</v>
      </c>
      <c r="C35" s="28"/>
      <c r="D35" s="37" t="n">
        <f aca="false">COUNTIF(E8:E33,"✗ No cumple")</f>
        <v>0</v>
      </c>
    </row>
    <row r="36" customFormat="false" ht="15" hidden="false" customHeight="true" outlineLevel="0" collapsed="false">
      <c r="B36" s="28" t="s">
        <v>135</v>
      </c>
      <c r="C36" s="28"/>
      <c r="D36" s="38" t="n">
        <f aca="false">COUNTIF(E8:E33,"⚠ Revisar")</f>
        <v>7</v>
      </c>
    </row>
    <row r="37" customFormat="false" ht="24" hidden="false" customHeight="true" outlineLevel="0" collapsed="false">
      <c r="B37" s="39" t="s">
        <v>136</v>
      </c>
      <c r="C37" s="39"/>
      <c r="D37" s="40" t="str">
        <f aca="false">IF(D35&gt;0,"RECHAZADA - corregir ambigüedades críticas",IF(D36&gt;0,"APROBADA CON OBSERVACIONES - aclarar pendientes","APROBADA - lista para BDD"))</f>
        <v>APROBADA CON OBSERVACIONES - aclarar pendientes</v>
      </c>
      <c r="E37" s="40"/>
      <c r="F37" s="40"/>
      <c r="G37" s="40"/>
    </row>
  </sheetData>
  <mergeCells count="13">
    <mergeCell ref="B2:G2"/>
    <mergeCell ref="B3:C3"/>
    <mergeCell ref="E3:F3"/>
    <mergeCell ref="B4:G4"/>
    <mergeCell ref="B5:G5"/>
    <mergeCell ref="B8:G8"/>
    <mergeCell ref="B14:G14"/>
    <mergeCell ref="B21:G21"/>
    <mergeCell ref="B27:G27"/>
    <mergeCell ref="B35:C35"/>
    <mergeCell ref="B36:C36"/>
    <mergeCell ref="B37:C37"/>
    <mergeCell ref="D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34"/>
  </cols>
  <sheetData>
    <row r="2" customFormat="false" ht="33.75" hidden="false" customHeight="true" outlineLevel="0" collapsed="false">
      <c r="B2" s="14" t="s">
        <v>66</v>
      </c>
      <c r="C2" s="14"/>
      <c r="D2" s="14"/>
      <c r="E2" s="14"/>
      <c r="F2" s="14"/>
      <c r="G2" s="14"/>
    </row>
    <row r="3" customFormat="false" ht="15" hidden="false" customHeight="true" outlineLevel="0" collapsed="false">
      <c r="B3" s="28" t="s">
        <v>67</v>
      </c>
      <c r="C3" s="28"/>
      <c r="D3" s="29" t="s">
        <v>159</v>
      </c>
      <c r="E3" s="28" t="s">
        <v>69</v>
      </c>
      <c r="F3" s="28"/>
      <c r="G3" s="29" t="s">
        <v>5</v>
      </c>
    </row>
    <row r="4" customFormat="false" ht="15" hidden="false" customHeight="true" outlineLevel="0" collapsed="false">
      <c r="B4" s="28" t="s">
        <v>70</v>
      </c>
      <c r="C4" s="28"/>
      <c r="D4" s="28"/>
      <c r="E4" s="28"/>
      <c r="F4" s="28"/>
      <c r="G4" s="28"/>
    </row>
    <row r="5" customFormat="false" ht="30" hidden="false" customHeight="true" outlineLevel="0" collapsed="false">
      <c r="B5" s="30" t="s">
        <v>160</v>
      </c>
      <c r="C5" s="30"/>
      <c r="D5" s="30"/>
      <c r="E5" s="30"/>
      <c r="F5" s="30"/>
      <c r="G5" s="30"/>
    </row>
    <row r="7" customFormat="false" ht="24" hidden="false" customHeight="true" outlineLevel="0" collapsed="false">
      <c r="B7" s="22" t="s">
        <v>72</v>
      </c>
      <c r="C7" s="22" t="s">
        <v>73</v>
      </c>
      <c r="D7" s="22" t="s">
        <v>74</v>
      </c>
      <c r="E7" s="22" t="s">
        <v>75</v>
      </c>
      <c r="F7" s="22" t="s">
        <v>76</v>
      </c>
      <c r="G7" s="22" t="s">
        <v>77</v>
      </c>
    </row>
    <row r="8" customFormat="false" ht="21.75" hidden="false" customHeight="true" outlineLevel="0" collapsed="false">
      <c r="B8" s="31" t="s">
        <v>78</v>
      </c>
      <c r="C8" s="31"/>
      <c r="D8" s="31"/>
      <c r="E8" s="31"/>
      <c r="F8" s="31"/>
      <c r="G8" s="31"/>
    </row>
    <row r="9" customFormat="false" ht="33.75" hidden="false" customHeight="true" outlineLevel="0" collapsed="false">
      <c r="B9" s="32" t="n">
        <v>1</v>
      </c>
      <c r="C9" s="33" t="s">
        <v>79</v>
      </c>
      <c r="D9" s="27" t="s">
        <v>80</v>
      </c>
      <c r="E9" s="32" t="s">
        <v>24</v>
      </c>
      <c r="F9" s="27"/>
      <c r="G9" s="27"/>
    </row>
    <row r="10" customFormat="false" ht="33.75" hidden="false" customHeight="true" outlineLevel="0" collapsed="false">
      <c r="B10" s="32" t="n">
        <v>2</v>
      </c>
      <c r="C10" s="33" t="s">
        <v>81</v>
      </c>
      <c r="D10" s="27" t="s">
        <v>82</v>
      </c>
      <c r="E10" s="32" t="s">
        <v>28</v>
      </c>
      <c r="F10" s="27" t="s">
        <v>83</v>
      </c>
      <c r="G10" s="27" t="s">
        <v>84</v>
      </c>
    </row>
    <row r="11" customFormat="false" ht="33.75" hidden="false" customHeight="true" outlineLevel="0" collapsed="false">
      <c r="B11" s="32" t="n">
        <v>3</v>
      </c>
      <c r="C11" s="33" t="s">
        <v>85</v>
      </c>
      <c r="D11" s="27" t="s">
        <v>86</v>
      </c>
      <c r="E11" s="32" t="s">
        <v>24</v>
      </c>
      <c r="F11" s="27"/>
      <c r="G11" s="27"/>
    </row>
    <row r="12" customFormat="false" ht="33.75" hidden="false" customHeight="true" outlineLevel="0" collapsed="false">
      <c r="B12" s="32" t="n">
        <v>4</v>
      </c>
      <c r="C12" s="33" t="s">
        <v>87</v>
      </c>
      <c r="D12" s="27" t="s">
        <v>88</v>
      </c>
      <c r="E12" s="32" t="s">
        <v>24</v>
      </c>
      <c r="F12" s="27"/>
      <c r="G12" s="27"/>
    </row>
    <row r="13" customFormat="false" ht="33.75" hidden="false" customHeight="true" outlineLevel="0" collapsed="false">
      <c r="B13" s="32" t="n">
        <v>5</v>
      </c>
      <c r="C13" s="33" t="s">
        <v>89</v>
      </c>
      <c r="D13" s="27" t="s">
        <v>90</v>
      </c>
      <c r="E13" s="32" t="s">
        <v>24</v>
      </c>
      <c r="F13" s="27"/>
      <c r="G13" s="27"/>
    </row>
    <row r="14" customFormat="false" ht="21.75" hidden="false" customHeight="true" outlineLevel="0" collapsed="false">
      <c r="B14" s="34" t="s">
        <v>91</v>
      </c>
      <c r="C14" s="34"/>
      <c r="D14" s="34"/>
      <c r="E14" s="34"/>
      <c r="F14" s="34"/>
      <c r="G14" s="34"/>
    </row>
    <row r="15" customFormat="false" ht="33.75" hidden="false" customHeight="true" outlineLevel="0" collapsed="false">
      <c r="B15" s="32" t="n">
        <v>6</v>
      </c>
      <c r="C15" s="33" t="s">
        <v>92</v>
      </c>
      <c r="D15" s="27" t="s">
        <v>93</v>
      </c>
      <c r="E15" s="32" t="s">
        <v>24</v>
      </c>
      <c r="F15" s="27"/>
      <c r="G15" s="27"/>
    </row>
    <row r="16" customFormat="false" ht="33.75" hidden="false" customHeight="true" outlineLevel="0" collapsed="false">
      <c r="B16" s="32" t="n">
        <v>7</v>
      </c>
      <c r="C16" s="33" t="s">
        <v>94</v>
      </c>
      <c r="D16" s="27" t="s">
        <v>95</v>
      </c>
      <c r="E16" s="32" t="s">
        <v>24</v>
      </c>
      <c r="F16" s="27"/>
      <c r="G16" s="27"/>
    </row>
    <row r="17" customFormat="false" ht="33.75" hidden="false" customHeight="true" outlineLevel="0" collapsed="false">
      <c r="B17" s="32" t="n">
        <v>8</v>
      </c>
      <c r="C17" s="33" t="s">
        <v>96</v>
      </c>
      <c r="D17" s="27" t="s">
        <v>97</v>
      </c>
      <c r="E17" s="32" t="s">
        <v>24</v>
      </c>
      <c r="F17" s="27"/>
      <c r="G17" s="27"/>
    </row>
    <row r="18" customFormat="false" ht="33.75" hidden="false" customHeight="true" outlineLevel="0" collapsed="false">
      <c r="B18" s="32" t="n">
        <v>9</v>
      </c>
      <c r="C18" s="33" t="s">
        <v>98</v>
      </c>
      <c r="D18" s="27" t="s">
        <v>99</v>
      </c>
      <c r="E18" s="32" t="s">
        <v>24</v>
      </c>
      <c r="F18" s="27"/>
      <c r="G18" s="27"/>
    </row>
    <row r="19" customFormat="false" ht="33.75" hidden="false" customHeight="true" outlineLevel="0" collapsed="false">
      <c r="B19" s="32" t="n">
        <v>10</v>
      </c>
      <c r="C19" s="33" t="s">
        <v>100</v>
      </c>
      <c r="D19" s="27" t="s">
        <v>101</v>
      </c>
      <c r="E19" s="32" t="s">
        <v>24</v>
      </c>
      <c r="F19" s="27"/>
      <c r="G19" s="27"/>
    </row>
    <row r="20" customFormat="false" ht="33.75" hidden="false" customHeight="true" outlineLevel="0" collapsed="false">
      <c r="B20" s="32" t="n">
        <v>11</v>
      </c>
      <c r="C20" s="33" t="s">
        <v>102</v>
      </c>
      <c r="D20" s="27" t="s">
        <v>103</v>
      </c>
      <c r="E20" s="32" t="s">
        <v>24</v>
      </c>
      <c r="F20" s="27"/>
      <c r="G20" s="27"/>
    </row>
    <row r="21" customFormat="false" ht="21.75" hidden="false" customHeight="true" outlineLevel="0" collapsed="false">
      <c r="B21" s="35" t="s">
        <v>104</v>
      </c>
      <c r="C21" s="35"/>
      <c r="D21" s="35"/>
      <c r="E21" s="35"/>
      <c r="F21" s="35"/>
      <c r="G21" s="35"/>
    </row>
    <row r="22" customFormat="false" ht="33.75" hidden="false" customHeight="true" outlineLevel="0" collapsed="false">
      <c r="B22" s="32" t="n">
        <v>12</v>
      </c>
      <c r="C22" s="33" t="s">
        <v>105</v>
      </c>
      <c r="D22" s="27" t="s">
        <v>106</v>
      </c>
      <c r="E22" s="32" t="s">
        <v>24</v>
      </c>
      <c r="F22" s="27"/>
      <c r="G22" s="27"/>
    </row>
    <row r="23" customFormat="false" ht="33.75" hidden="false" customHeight="true" outlineLevel="0" collapsed="false">
      <c r="B23" s="32" t="n">
        <v>13</v>
      </c>
      <c r="C23" s="33" t="s">
        <v>107</v>
      </c>
      <c r="D23" s="27" t="s">
        <v>108</v>
      </c>
      <c r="E23" s="32" t="s">
        <v>24</v>
      </c>
      <c r="F23" s="27"/>
      <c r="G23" s="27"/>
    </row>
    <row r="24" customFormat="false" ht="33.75" hidden="false" customHeight="true" outlineLevel="0" collapsed="false">
      <c r="B24" s="32" t="n">
        <v>14</v>
      </c>
      <c r="C24" s="33" t="s">
        <v>109</v>
      </c>
      <c r="D24" s="27" t="s">
        <v>110</v>
      </c>
      <c r="E24" s="32" t="s">
        <v>30</v>
      </c>
      <c r="F24" s="27"/>
      <c r="G24" s="27"/>
    </row>
    <row r="25" customFormat="false" ht="33.75" hidden="false" customHeight="true" outlineLevel="0" collapsed="false">
      <c r="B25" s="32" t="n">
        <v>15</v>
      </c>
      <c r="C25" s="33" t="s">
        <v>111</v>
      </c>
      <c r="D25" s="27" t="s">
        <v>112</v>
      </c>
      <c r="E25" s="32" t="s">
        <v>24</v>
      </c>
      <c r="F25" s="27"/>
      <c r="G25" s="27"/>
    </row>
    <row r="26" customFormat="false" ht="33.75" hidden="false" customHeight="true" outlineLevel="0" collapsed="false">
      <c r="B26" s="32" t="n">
        <v>16</v>
      </c>
      <c r="C26" s="33" t="s">
        <v>113</v>
      </c>
      <c r="D26" s="27" t="s">
        <v>114</v>
      </c>
      <c r="E26" s="32" t="s">
        <v>30</v>
      </c>
      <c r="F26" s="27"/>
      <c r="G26" s="27"/>
    </row>
    <row r="27" customFormat="false" ht="21.75" hidden="false" customHeight="true" outlineLevel="0" collapsed="false">
      <c r="B27" s="36" t="s">
        <v>117</v>
      </c>
      <c r="C27" s="36"/>
      <c r="D27" s="36"/>
      <c r="E27" s="36"/>
      <c r="F27" s="36"/>
      <c r="G27" s="36"/>
    </row>
    <row r="28" customFormat="false" ht="33.75" hidden="false" customHeight="true" outlineLevel="0" collapsed="false">
      <c r="B28" s="32" t="n">
        <v>17</v>
      </c>
      <c r="C28" s="33" t="s">
        <v>118</v>
      </c>
      <c r="D28" s="27" t="s">
        <v>119</v>
      </c>
      <c r="E28" s="32" t="s">
        <v>28</v>
      </c>
      <c r="F28" s="27" t="s">
        <v>120</v>
      </c>
      <c r="G28" s="27" t="s">
        <v>121</v>
      </c>
    </row>
    <row r="29" customFormat="false" ht="33.75" hidden="false" customHeight="true" outlineLevel="0" collapsed="false">
      <c r="B29" s="32" t="n">
        <v>18</v>
      </c>
      <c r="C29" s="33" t="s">
        <v>122</v>
      </c>
      <c r="D29" s="27" t="s">
        <v>123</v>
      </c>
      <c r="E29" s="32" t="s">
        <v>24</v>
      </c>
      <c r="F29" s="27"/>
      <c r="G29" s="27"/>
    </row>
    <row r="30" customFormat="false" ht="33.75" hidden="false" customHeight="true" outlineLevel="0" collapsed="false">
      <c r="B30" s="32" t="n">
        <v>19</v>
      </c>
      <c r="C30" s="33" t="s">
        <v>124</v>
      </c>
      <c r="D30" s="27" t="s">
        <v>125</v>
      </c>
      <c r="E30" s="32" t="s">
        <v>30</v>
      </c>
      <c r="F30" s="27"/>
      <c r="G30" s="27"/>
    </row>
    <row r="31" customFormat="false" ht="33.75" hidden="false" customHeight="true" outlineLevel="0" collapsed="false">
      <c r="B31" s="32" t="n">
        <v>20</v>
      </c>
      <c r="C31" s="33" t="s">
        <v>126</v>
      </c>
      <c r="D31" s="27" t="s">
        <v>127</v>
      </c>
      <c r="E31" s="32" t="s">
        <v>24</v>
      </c>
      <c r="F31" s="27"/>
      <c r="G31" s="27"/>
    </row>
    <row r="32" customFormat="false" ht="33.75" hidden="false" customHeight="true" outlineLevel="0" collapsed="false">
      <c r="B32" s="32" t="n">
        <v>21</v>
      </c>
      <c r="C32" s="33" t="s">
        <v>128</v>
      </c>
      <c r="D32" s="27" t="s">
        <v>129</v>
      </c>
      <c r="E32" s="32" t="s">
        <v>28</v>
      </c>
      <c r="F32" s="27" t="s">
        <v>130</v>
      </c>
      <c r="G32" s="27" t="s">
        <v>131</v>
      </c>
    </row>
    <row r="33" customFormat="false" ht="33.75" hidden="false" customHeight="true" outlineLevel="0" collapsed="false">
      <c r="B33" s="32" t="n">
        <v>22</v>
      </c>
      <c r="C33" s="33" t="s">
        <v>132</v>
      </c>
      <c r="D33" s="27" t="s">
        <v>133</v>
      </c>
      <c r="E33" s="32" t="s">
        <v>24</v>
      </c>
      <c r="F33" s="27"/>
      <c r="G33" s="27"/>
    </row>
    <row r="35" customFormat="false" ht="15" hidden="false" customHeight="true" outlineLevel="0" collapsed="false">
      <c r="B35" s="28" t="s">
        <v>134</v>
      </c>
      <c r="C35" s="28"/>
      <c r="D35" s="37" t="n">
        <f aca="false">COUNTIF(E8:E33,"✗ No cumple")</f>
        <v>0</v>
      </c>
    </row>
    <row r="36" customFormat="false" ht="15" hidden="false" customHeight="true" outlineLevel="0" collapsed="false">
      <c r="B36" s="28" t="s">
        <v>135</v>
      </c>
      <c r="C36" s="28"/>
      <c r="D36" s="38" t="n">
        <f aca="false">COUNTIF(E8:E33,"⚠ Revisar")</f>
        <v>3</v>
      </c>
    </row>
    <row r="37" customFormat="false" ht="24" hidden="false" customHeight="true" outlineLevel="0" collapsed="false">
      <c r="B37" s="39" t="s">
        <v>136</v>
      </c>
      <c r="C37" s="39"/>
      <c r="D37" s="40" t="str">
        <f aca="false">IF(D35&gt;0,"RECHAZADA - corregir ambigüedades críticas",IF(D36&gt;0,"APROBADA CON OBSERVACIONES - aclarar pendientes","APROBADA - lista para BDD"))</f>
        <v>APROBADA CON OBSERVACIONES - aclarar pendientes</v>
      </c>
      <c r="E37" s="40"/>
      <c r="F37" s="40"/>
      <c r="G37" s="40"/>
    </row>
  </sheetData>
  <mergeCells count="13">
    <mergeCell ref="B2:G2"/>
    <mergeCell ref="B3:C3"/>
    <mergeCell ref="E3:F3"/>
    <mergeCell ref="B4:G4"/>
    <mergeCell ref="B5:G5"/>
    <mergeCell ref="B8:G8"/>
    <mergeCell ref="B14:G14"/>
    <mergeCell ref="B21:G21"/>
    <mergeCell ref="B27:G27"/>
    <mergeCell ref="B35:C35"/>
    <mergeCell ref="B36:C36"/>
    <mergeCell ref="B37:C37"/>
    <mergeCell ref="D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34"/>
  </cols>
  <sheetData>
    <row r="2" customFormat="false" ht="33.75" hidden="false" customHeight="true" outlineLevel="0" collapsed="false">
      <c r="B2" s="14" t="s">
        <v>66</v>
      </c>
      <c r="C2" s="14"/>
      <c r="D2" s="14"/>
      <c r="E2" s="14"/>
      <c r="F2" s="14"/>
      <c r="G2" s="14"/>
    </row>
    <row r="3" customFormat="false" ht="15" hidden="false" customHeight="true" outlineLevel="0" collapsed="false">
      <c r="B3" s="28" t="s">
        <v>67</v>
      </c>
      <c r="C3" s="28"/>
      <c r="D3" s="29" t="s">
        <v>161</v>
      </c>
      <c r="E3" s="28" t="s">
        <v>69</v>
      </c>
      <c r="F3" s="28"/>
      <c r="G3" s="29" t="s">
        <v>5</v>
      </c>
    </row>
    <row r="4" customFormat="false" ht="15" hidden="false" customHeight="true" outlineLevel="0" collapsed="false">
      <c r="B4" s="28" t="s">
        <v>70</v>
      </c>
      <c r="C4" s="28"/>
      <c r="D4" s="28"/>
      <c r="E4" s="28"/>
      <c r="F4" s="28"/>
      <c r="G4" s="28"/>
    </row>
    <row r="5" customFormat="false" ht="30" hidden="false" customHeight="true" outlineLevel="0" collapsed="false">
      <c r="B5" s="30" t="s">
        <v>162</v>
      </c>
      <c r="C5" s="30"/>
      <c r="D5" s="30"/>
      <c r="E5" s="30"/>
      <c r="F5" s="30"/>
      <c r="G5" s="30"/>
    </row>
    <row r="7" customFormat="false" ht="24" hidden="false" customHeight="true" outlineLevel="0" collapsed="false">
      <c r="B7" s="22" t="s">
        <v>72</v>
      </c>
      <c r="C7" s="22" t="s">
        <v>73</v>
      </c>
      <c r="D7" s="22" t="s">
        <v>74</v>
      </c>
      <c r="E7" s="22" t="s">
        <v>75</v>
      </c>
      <c r="F7" s="22" t="s">
        <v>76</v>
      </c>
      <c r="G7" s="22" t="s">
        <v>77</v>
      </c>
    </row>
    <row r="8" customFormat="false" ht="21.75" hidden="false" customHeight="true" outlineLevel="0" collapsed="false">
      <c r="B8" s="31" t="s">
        <v>78</v>
      </c>
      <c r="C8" s="31"/>
      <c r="D8" s="31"/>
      <c r="E8" s="31"/>
      <c r="F8" s="31"/>
      <c r="G8" s="31"/>
    </row>
    <row r="9" customFormat="false" ht="33.75" hidden="false" customHeight="true" outlineLevel="0" collapsed="false">
      <c r="B9" s="32" t="n">
        <v>1</v>
      </c>
      <c r="C9" s="33" t="s">
        <v>79</v>
      </c>
      <c r="D9" s="27" t="s">
        <v>80</v>
      </c>
      <c r="E9" s="32" t="s">
        <v>24</v>
      </c>
      <c r="F9" s="27"/>
      <c r="G9" s="27"/>
    </row>
    <row r="10" customFormat="false" ht="33.75" hidden="false" customHeight="true" outlineLevel="0" collapsed="false">
      <c r="B10" s="32" t="n">
        <v>2</v>
      </c>
      <c r="C10" s="33" t="s">
        <v>81</v>
      </c>
      <c r="D10" s="27" t="s">
        <v>82</v>
      </c>
      <c r="E10" s="32" t="s">
        <v>28</v>
      </c>
      <c r="F10" s="27" t="s">
        <v>83</v>
      </c>
      <c r="G10" s="27" t="s">
        <v>84</v>
      </c>
    </row>
    <row r="11" customFormat="false" ht="33.75" hidden="false" customHeight="true" outlineLevel="0" collapsed="false">
      <c r="B11" s="32" t="n">
        <v>3</v>
      </c>
      <c r="C11" s="33" t="s">
        <v>85</v>
      </c>
      <c r="D11" s="27" t="s">
        <v>86</v>
      </c>
      <c r="E11" s="32" t="s">
        <v>24</v>
      </c>
      <c r="F11" s="27"/>
      <c r="G11" s="27"/>
    </row>
    <row r="12" customFormat="false" ht="33.75" hidden="false" customHeight="true" outlineLevel="0" collapsed="false">
      <c r="B12" s="32" t="n">
        <v>4</v>
      </c>
      <c r="C12" s="33" t="s">
        <v>87</v>
      </c>
      <c r="D12" s="27" t="s">
        <v>88</v>
      </c>
      <c r="E12" s="32" t="s">
        <v>24</v>
      </c>
      <c r="F12" s="27"/>
      <c r="G12" s="27"/>
    </row>
    <row r="13" customFormat="false" ht="33.75" hidden="false" customHeight="true" outlineLevel="0" collapsed="false">
      <c r="B13" s="32" t="n">
        <v>5</v>
      </c>
      <c r="C13" s="33" t="s">
        <v>89</v>
      </c>
      <c r="D13" s="27" t="s">
        <v>90</v>
      </c>
      <c r="E13" s="32" t="s">
        <v>24</v>
      </c>
      <c r="F13" s="27"/>
      <c r="G13" s="27"/>
    </row>
    <row r="14" customFormat="false" ht="21.75" hidden="false" customHeight="true" outlineLevel="0" collapsed="false">
      <c r="B14" s="34" t="s">
        <v>91</v>
      </c>
      <c r="C14" s="34"/>
      <c r="D14" s="34"/>
      <c r="E14" s="34"/>
      <c r="F14" s="34"/>
      <c r="G14" s="34"/>
    </row>
    <row r="15" customFormat="false" ht="33.75" hidden="false" customHeight="true" outlineLevel="0" collapsed="false">
      <c r="B15" s="32" t="n">
        <v>6</v>
      </c>
      <c r="C15" s="33" t="s">
        <v>92</v>
      </c>
      <c r="D15" s="27" t="s">
        <v>93</v>
      </c>
      <c r="E15" s="32" t="s">
        <v>24</v>
      </c>
      <c r="F15" s="27"/>
      <c r="G15" s="27"/>
    </row>
    <row r="16" customFormat="false" ht="33.75" hidden="false" customHeight="true" outlineLevel="0" collapsed="false">
      <c r="B16" s="32" t="n">
        <v>7</v>
      </c>
      <c r="C16" s="33" t="s">
        <v>94</v>
      </c>
      <c r="D16" s="27" t="s">
        <v>95</v>
      </c>
      <c r="E16" s="32" t="s">
        <v>24</v>
      </c>
      <c r="F16" s="27"/>
      <c r="G16" s="27"/>
    </row>
    <row r="17" customFormat="false" ht="33.75" hidden="false" customHeight="true" outlineLevel="0" collapsed="false">
      <c r="B17" s="32" t="n">
        <v>8</v>
      </c>
      <c r="C17" s="33" t="s">
        <v>96</v>
      </c>
      <c r="D17" s="27" t="s">
        <v>97</v>
      </c>
      <c r="E17" s="32" t="s">
        <v>24</v>
      </c>
      <c r="F17" s="27"/>
      <c r="G17" s="27"/>
    </row>
    <row r="18" customFormat="false" ht="33.75" hidden="false" customHeight="true" outlineLevel="0" collapsed="false">
      <c r="B18" s="32" t="n">
        <v>9</v>
      </c>
      <c r="C18" s="33" t="s">
        <v>98</v>
      </c>
      <c r="D18" s="27" t="s">
        <v>99</v>
      </c>
      <c r="E18" s="32" t="s">
        <v>24</v>
      </c>
      <c r="F18" s="27"/>
      <c r="G18" s="27"/>
    </row>
    <row r="19" customFormat="false" ht="33.75" hidden="false" customHeight="true" outlineLevel="0" collapsed="false">
      <c r="B19" s="32" t="n">
        <v>10</v>
      </c>
      <c r="C19" s="33" t="s">
        <v>100</v>
      </c>
      <c r="D19" s="27" t="s">
        <v>101</v>
      </c>
      <c r="E19" s="32" t="s">
        <v>24</v>
      </c>
      <c r="F19" s="27"/>
      <c r="G19" s="27"/>
    </row>
    <row r="20" customFormat="false" ht="33.75" hidden="false" customHeight="true" outlineLevel="0" collapsed="false">
      <c r="B20" s="32" t="n">
        <v>11</v>
      </c>
      <c r="C20" s="33" t="s">
        <v>102</v>
      </c>
      <c r="D20" s="27" t="s">
        <v>103</v>
      </c>
      <c r="E20" s="32" t="s">
        <v>24</v>
      </c>
      <c r="F20" s="27"/>
      <c r="G20" s="27"/>
    </row>
    <row r="21" customFormat="false" ht="21.75" hidden="false" customHeight="true" outlineLevel="0" collapsed="false">
      <c r="B21" s="35" t="s">
        <v>104</v>
      </c>
      <c r="C21" s="35"/>
      <c r="D21" s="35"/>
      <c r="E21" s="35"/>
      <c r="F21" s="35"/>
      <c r="G21" s="35"/>
    </row>
    <row r="22" customFormat="false" ht="33.75" hidden="false" customHeight="true" outlineLevel="0" collapsed="false">
      <c r="B22" s="32" t="n">
        <v>12</v>
      </c>
      <c r="C22" s="33" t="s">
        <v>105</v>
      </c>
      <c r="D22" s="27" t="s">
        <v>106</v>
      </c>
      <c r="E22" s="32" t="s">
        <v>24</v>
      </c>
      <c r="F22" s="27"/>
      <c r="G22" s="27"/>
    </row>
    <row r="23" customFormat="false" ht="33.75" hidden="false" customHeight="true" outlineLevel="0" collapsed="false">
      <c r="B23" s="32" t="n">
        <v>13</v>
      </c>
      <c r="C23" s="33" t="s">
        <v>107</v>
      </c>
      <c r="D23" s="27" t="s">
        <v>108</v>
      </c>
      <c r="E23" s="32" t="s">
        <v>24</v>
      </c>
      <c r="F23" s="27"/>
      <c r="G23" s="27"/>
    </row>
    <row r="24" customFormat="false" ht="33.75" hidden="false" customHeight="true" outlineLevel="0" collapsed="false">
      <c r="B24" s="32" t="n">
        <v>14</v>
      </c>
      <c r="C24" s="33" t="s">
        <v>109</v>
      </c>
      <c r="D24" s="27" t="s">
        <v>110</v>
      </c>
      <c r="E24" s="32" t="s">
        <v>30</v>
      </c>
      <c r="F24" s="27"/>
      <c r="G24" s="27"/>
    </row>
    <row r="25" customFormat="false" ht="33.75" hidden="false" customHeight="true" outlineLevel="0" collapsed="false">
      <c r="B25" s="32" t="n">
        <v>15</v>
      </c>
      <c r="C25" s="33" t="s">
        <v>111</v>
      </c>
      <c r="D25" s="27" t="s">
        <v>112</v>
      </c>
      <c r="E25" s="32" t="s">
        <v>30</v>
      </c>
      <c r="F25" s="27"/>
      <c r="G25" s="27"/>
    </row>
    <row r="26" customFormat="false" ht="33.75" hidden="false" customHeight="true" outlineLevel="0" collapsed="false">
      <c r="B26" s="32" t="n">
        <v>16</v>
      </c>
      <c r="C26" s="33" t="s">
        <v>113</v>
      </c>
      <c r="D26" s="27" t="s">
        <v>114</v>
      </c>
      <c r="E26" s="32" t="s">
        <v>30</v>
      </c>
      <c r="F26" s="27"/>
      <c r="G26" s="27"/>
    </row>
    <row r="27" customFormat="false" ht="21.75" hidden="false" customHeight="true" outlineLevel="0" collapsed="false">
      <c r="B27" s="36" t="s">
        <v>117</v>
      </c>
      <c r="C27" s="36"/>
      <c r="D27" s="36"/>
      <c r="E27" s="36"/>
      <c r="F27" s="36"/>
      <c r="G27" s="36"/>
    </row>
    <row r="28" customFormat="false" ht="33.75" hidden="false" customHeight="true" outlineLevel="0" collapsed="false">
      <c r="B28" s="32" t="n">
        <v>17</v>
      </c>
      <c r="C28" s="33" t="s">
        <v>118</v>
      </c>
      <c r="D28" s="27" t="s">
        <v>119</v>
      </c>
      <c r="E28" s="32" t="s">
        <v>28</v>
      </c>
      <c r="F28" s="27" t="s">
        <v>120</v>
      </c>
      <c r="G28" s="27" t="s">
        <v>121</v>
      </c>
    </row>
    <row r="29" customFormat="false" ht="33.75" hidden="false" customHeight="true" outlineLevel="0" collapsed="false">
      <c r="B29" s="32" t="n">
        <v>18</v>
      </c>
      <c r="C29" s="33" t="s">
        <v>122</v>
      </c>
      <c r="D29" s="27" t="s">
        <v>123</v>
      </c>
      <c r="E29" s="32" t="s">
        <v>24</v>
      </c>
      <c r="F29" s="27"/>
      <c r="G29" s="27"/>
    </row>
    <row r="30" customFormat="false" ht="33.75" hidden="false" customHeight="true" outlineLevel="0" collapsed="false">
      <c r="B30" s="32" t="n">
        <v>19</v>
      </c>
      <c r="C30" s="33" t="s">
        <v>124</v>
      </c>
      <c r="D30" s="27" t="s">
        <v>125</v>
      </c>
      <c r="E30" s="32" t="s">
        <v>30</v>
      </c>
      <c r="F30" s="27"/>
      <c r="G30" s="27"/>
    </row>
    <row r="31" customFormat="false" ht="33.75" hidden="false" customHeight="true" outlineLevel="0" collapsed="false">
      <c r="B31" s="32" t="n">
        <v>20</v>
      </c>
      <c r="C31" s="33" t="s">
        <v>126</v>
      </c>
      <c r="D31" s="27" t="s">
        <v>127</v>
      </c>
      <c r="E31" s="32" t="s">
        <v>24</v>
      </c>
      <c r="F31" s="27"/>
      <c r="G31" s="27"/>
    </row>
    <row r="32" customFormat="false" ht="33.75" hidden="false" customHeight="true" outlineLevel="0" collapsed="false">
      <c r="B32" s="32" t="n">
        <v>21</v>
      </c>
      <c r="C32" s="33" t="s">
        <v>128</v>
      </c>
      <c r="D32" s="27" t="s">
        <v>129</v>
      </c>
      <c r="E32" s="32" t="s">
        <v>28</v>
      </c>
      <c r="F32" s="27" t="s">
        <v>130</v>
      </c>
      <c r="G32" s="27" t="s">
        <v>131</v>
      </c>
    </row>
    <row r="33" customFormat="false" ht="33.75" hidden="false" customHeight="true" outlineLevel="0" collapsed="false">
      <c r="B33" s="32" t="n">
        <v>22</v>
      </c>
      <c r="C33" s="33" t="s">
        <v>132</v>
      </c>
      <c r="D33" s="27" t="s">
        <v>133</v>
      </c>
      <c r="E33" s="32" t="s">
        <v>24</v>
      </c>
      <c r="F33" s="27"/>
      <c r="G33" s="27"/>
    </row>
    <row r="35" customFormat="false" ht="15" hidden="false" customHeight="true" outlineLevel="0" collapsed="false">
      <c r="B35" s="28" t="s">
        <v>134</v>
      </c>
      <c r="C35" s="28"/>
      <c r="D35" s="37" t="n">
        <f aca="false">COUNTIF(E8:E33,"✗ No cumple")</f>
        <v>0</v>
      </c>
    </row>
    <row r="36" customFormat="false" ht="15" hidden="false" customHeight="true" outlineLevel="0" collapsed="false">
      <c r="B36" s="28" t="s">
        <v>135</v>
      </c>
      <c r="C36" s="28"/>
      <c r="D36" s="38" t="n">
        <f aca="false">COUNTIF(E8:E33,"⚠ Revisar")</f>
        <v>3</v>
      </c>
    </row>
    <row r="37" customFormat="false" ht="24" hidden="false" customHeight="true" outlineLevel="0" collapsed="false">
      <c r="B37" s="39" t="s">
        <v>136</v>
      </c>
      <c r="C37" s="39"/>
      <c r="D37" s="40" t="str">
        <f aca="false">IF(D35&gt;0,"RECHAZADA - corregir ambigüedades críticas",IF(D36&gt;0,"APROBADA CON OBSERVACIONES - aclarar pendientes","APROBADA - lista para BDD"))</f>
        <v>APROBADA CON OBSERVACIONES - aclarar pendientes</v>
      </c>
      <c r="E37" s="40"/>
      <c r="F37" s="40"/>
      <c r="G37" s="40"/>
    </row>
  </sheetData>
  <mergeCells count="13">
    <mergeCell ref="B2:G2"/>
    <mergeCell ref="B3:C3"/>
    <mergeCell ref="E3:F3"/>
    <mergeCell ref="B4:G4"/>
    <mergeCell ref="B5:G5"/>
    <mergeCell ref="B8:G8"/>
    <mergeCell ref="B14:G14"/>
    <mergeCell ref="B21:G21"/>
    <mergeCell ref="B27:G27"/>
    <mergeCell ref="B35:C35"/>
    <mergeCell ref="B36:C36"/>
    <mergeCell ref="B37:C37"/>
    <mergeCell ref="D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34"/>
  </cols>
  <sheetData>
    <row r="2" customFormat="false" ht="33.75" hidden="false" customHeight="true" outlineLevel="0" collapsed="false">
      <c r="B2" s="14" t="s">
        <v>66</v>
      </c>
      <c r="C2" s="14"/>
      <c r="D2" s="14"/>
      <c r="E2" s="14"/>
      <c r="F2" s="14"/>
      <c r="G2" s="14"/>
    </row>
    <row r="3" customFormat="false" ht="15" hidden="false" customHeight="true" outlineLevel="0" collapsed="false">
      <c r="B3" s="28" t="s">
        <v>67</v>
      </c>
      <c r="C3" s="28"/>
      <c r="D3" s="29" t="s">
        <v>163</v>
      </c>
      <c r="E3" s="28" t="s">
        <v>69</v>
      </c>
      <c r="F3" s="28"/>
      <c r="G3" s="29" t="s">
        <v>5</v>
      </c>
    </row>
    <row r="4" customFormat="false" ht="15" hidden="false" customHeight="true" outlineLevel="0" collapsed="false">
      <c r="B4" s="28" t="s">
        <v>70</v>
      </c>
      <c r="C4" s="28"/>
      <c r="D4" s="28"/>
      <c r="E4" s="28"/>
      <c r="F4" s="28"/>
      <c r="G4" s="28"/>
    </row>
    <row r="5" customFormat="false" ht="30" hidden="false" customHeight="true" outlineLevel="0" collapsed="false">
      <c r="B5" s="30" t="s">
        <v>164</v>
      </c>
      <c r="C5" s="30"/>
      <c r="D5" s="30"/>
      <c r="E5" s="30"/>
      <c r="F5" s="30"/>
      <c r="G5" s="30"/>
    </row>
    <row r="7" customFormat="false" ht="24" hidden="false" customHeight="true" outlineLevel="0" collapsed="false">
      <c r="B7" s="22" t="s">
        <v>72</v>
      </c>
      <c r="C7" s="22" t="s">
        <v>73</v>
      </c>
      <c r="D7" s="22" t="s">
        <v>74</v>
      </c>
      <c r="E7" s="22" t="s">
        <v>75</v>
      </c>
      <c r="F7" s="22" t="s">
        <v>76</v>
      </c>
      <c r="G7" s="22" t="s">
        <v>77</v>
      </c>
    </row>
    <row r="8" customFormat="false" ht="21.75" hidden="false" customHeight="true" outlineLevel="0" collapsed="false">
      <c r="B8" s="31" t="s">
        <v>78</v>
      </c>
      <c r="C8" s="31"/>
      <c r="D8" s="31"/>
      <c r="E8" s="31"/>
      <c r="F8" s="31"/>
      <c r="G8" s="31"/>
    </row>
    <row r="9" customFormat="false" ht="33.75" hidden="false" customHeight="true" outlineLevel="0" collapsed="false">
      <c r="B9" s="32" t="n">
        <v>1</v>
      </c>
      <c r="C9" s="33" t="s">
        <v>79</v>
      </c>
      <c r="D9" s="27" t="s">
        <v>80</v>
      </c>
      <c r="E9" s="32" t="s">
        <v>24</v>
      </c>
      <c r="F9" s="27"/>
      <c r="G9" s="27"/>
    </row>
    <row r="10" customFormat="false" ht="33.75" hidden="false" customHeight="true" outlineLevel="0" collapsed="false">
      <c r="B10" s="32" t="n">
        <v>2</v>
      </c>
      <c r="C10" s="33" t="s">
        <v>81</v>
      </c>
      <c r="D10" s="27" t="s">
        <v>82</v>
      </c>
      <c r="E10" s="32" t="s">
        <v>28</v>
      </c>
      <c r="F10" s="27" t="s">
        <v>83</v>
      </c>
      <c r="G10" s="27" t="s">
        <v>84</v>
      </c>
    </row>
    <row r="11" customFormat="false" ht="33.75" hidden="false" customHeight="true" outlineLevel="0" collapsed="false">
      <c r="B11" s="32" t="n">
        <v>3</v>
      </c>
      <c r="C11" s="33" t="s">
        <v>85</v>
      </c>
      <c r="D11" s="27" t="s">
        <v>86</v>
      </c>
      <c r="E11" s="32" t="s">
        <v>24</v>
      </c>
      <c r="F11" s="27"/>
      <c r="G11" s="27"/>
    </row>
    <row r="12" customFormat="false" ht="33.75" hidden="false" customHeight="true" outlineLevel="0" collapsed="false">
      <c r="B12" s="32" t="n">
        <v>4</v>
      </c>
      <c r="C12" s="33" t="s">
        <v>87</v>
      </c>
      <c r="D12" s="27" t="s">
        <v>88</v>
      </c>
      <c r="E12" s="32" t="s">
        <v>24</v>
      </c>
      <c r="F12" s="27"/>
      <c r="G12" s="27"/>
    </row>
    <row r="13" customFormat="false" ht="33.75" hidden="false" customHeight="true" outlineLevel="0" collapsed="false">
      <c r="B13" s="32" t="n">
        <v>5</v>
      </c>
      <c r="C13" s="33" t="s">
        <v>89</v>
      </c>
      <c r="D13" s="27" t="s">
        <v>90</v>
      </c>
      <c r="E13" s="32" t="s">
        <v>24</v>
      </c>
      <c r="F13" s="27"/>
      <c r="G13" s="27"/>
    </row>
    <row r="14" customFormat="false" ht="21.75" hidden="false" customHeight="true" outlineLevel="0" collapsed="false">
      <c r="B14" s="34" t="s">
        <v>91</v>
      </c>
      <c r="C14" s="34"/>
      <c r="D14" s="34"/>
      <c r="E14" s="34"/>
      <c r="F14" s="34"/>
      <c r="G14" s="34"/>
    </row>
    <row r="15" customFormat="false" ht="33.75" hidden="false" customHeight="true" outlineLevel="0" collapsed="false">
      <c r="B15" s="32" t="n">
        <v>6</v>
      </c>
      <c r="C15" s="33" t="s">
        <v>92</v>
      </c>
      <c r="D15" s="27" t="s">
        <v>93</v>
      </c>
      <c r="E15" s="32" t="s">
        <v>24</v>
      </c>
      <c r="F15" s="27"/>
      <c r="G15" s="27"/>
    </row>
    <row r="16" customFormat="false" ht="33.75" hidden="false" customHeight="true" outlineLevel="0" collapsed="false">
      <c r="B16" s="32" t="n">
        <v>7</v>
      </c>
      <c r="C16" s="33" t="s">
        <v>94</v>
      </c>
      <c r="D16" s="27" t="s">
        <v>95</v>
      </c>
      <c r="E16" s="32" t="s">
        <v>24</v>
      </c>
      <c r="F16" s="27"/>
      <c r="G16" s="27"/>
    </row>
    <row r="17" customFormat="false" ht="33.75" hidden="false" customHeight="true" outlineLevel="0" collapsed="false">
      <c r="B17" s="32" t="n">
        <v>8</v>
      </c>
      <c r="C17" s="33" t="s">
        <v>96</v>
      </c>
      <c r="D17" s="27" t="s">
        <v>97</v>
      </c>
      <c r="E17" s="32" t="s">
        <v>24</v>
      </c>
      <c r="F17" s="27"/>
      <c r="G17" s="27"/>
    </row>
    <row r="18" customFormat="false" ht="33.75" hidden="false" customHeight="true" outlineLevel="0" collapsed="false">
      <c r="B18" s="32" t="n">
        <v>9</v>
      </c>
      <c r="C18" s="33" t="s">
        <v>98</v>
      </c>
      <c r="D18" s="27" t="s">
        <v>99</v>
      </c>
      <c r="E18" s="32" t="s">
        <v>24</v>
      </c>
      <c r="F18" s="27"/>
      <c r="G18" s="27"/>
    </row>
    <row r="19" customFormat="false" ht="33.75" hidden="false" customHeight="true" outlineLevel="0" collapsed="false">
      <c r="B19" s="32" t="n">
        <v>10</v>
      </c>
      <c r="C19" s="33" t="s">
        <v>100</v>
      </c>
      <c r="D19" s="27" t="s">
        <v>101</v>
      </c>
      <c r="E19" s="32" t="s">
        <v>24</v>
      </c>
      <c r="F19" s="27"/>
      <c r="G19" s="27"/>
    </row>
    <row r="20" customFormat="false" ht="33.75" hidden="false" customHeight="true" outlineLevel="0" collapsed="false">
      <c r="B20" s="32" t="n">
        <v>11</v>
      </c>
      <c r="C20" s="33" t="s">
        <v>102</v>
      </c>
      <c r="D20" s="27" t="s">
        <v>103</v>
      </c>
      <c r="E20" s="32" t="s">
        <v>24</v>
      </c>
      <c r="F20" s="27"/>
      <c r="G20" s="27"/>
    </row>
    <row r="21" customFormat="false" ht="21.75" hidden="false" customHeight="true" outlineLevel="0" collapsed="false">
      <c r="B21" s="35" t="s">
        <v>104</v>
      </c>
      <c r="C21" s="35"/>
      <c r="D21" s="35"/>
      <c r="E21" s="35"/>
      <c r="F21" s="35"/>
      <c r="G21" s="35"/>
    </row>
    <row r="22" customFormat="false" ht="33.75" hidden="false" customHeight="true" outlineLevel="0" collapsed="false">
      <c r="B22" s="32" t="n">
        <v>12</v>
      </c>
      <c r="C22" s="33" t="s">
        <v>105</v>
      </c>
      <c r="D22" s="27" t="s">
        <v>106</v>
      </c>
      <c r="E22" s="32" t="s">
        <v>24</v>
      </c>
      <c r="F22" s="27"/>
      <c r="G22" s="27"/>
    </row>
    <row r="23" customFormat="false" ht="33.75" hidden="false" customHeight="true" outlineLevel="0" collapsed="false">
      <c r="B23" s="32" t="n">
        <v>13</v>
      </c>
      <c r="C23" s="33" t="s">
        <v>107</v>
      </c>
      <c r="D23" s="27" t="s">
        <v>108</v>
      </c>
      <c r="E23" s="32" t="s">
        <v>24</v>
      </c>
      <c r="F23" s="27"/>
      <c r="G23" s="27"/>
    </row>
    <row r="24" customFormat="false" ht="33.75" hidden="false" customHeight="true" outlineLevel="0" collapsed="false">
      <c r="B24" s="32" t="n">
        <v>14</v>
      </c>
      <c r="C24" s="33" t="s">
        <v>109</v>
      </c>
      <c r="D24" s="27" t="s">
        <v>110</v>
      </c>
      <c r="E24" s="32" t="s">
        <v>28</v>
      </c>
      <c r="F24" s="27" t="s">
        <v>165</v>
      </c>
      <c r="G24" s="27" t="s">
        <v>166</v>
      </c>
    </row>
    <row r="25" customFormat="false" ht="33.75" hidden="false" customHeight="true" outlineLevel="0" collapsed="false">
      <c r="B25" s="32" t="n">
        <v>15</v>
      </c>
      <c r="C25" s="33" t="s">
        <v>111</v>
      </c>
      <c r="D25" s="27" t="s">
        <v>112</v>
      </c>
      <c r="E25" s="32" t="s">
        <v>30</v>
      </c>
      <c r="F25" s="27"/>
      <c r="G25" s="27"/>
    </row>
    <row r="26" customFormat="false" ht="33.75" hidden="false" customHeight="true" outlineLevel="0" collapsed="false">
      <c r="B26" s="32" t="n">
        <v>16</v>
      </c>
      <c r="C26" s="33" t="s">
        <v>113</v>
      </c>
      <c r="D26" s="27" t="s">
        <v>114</v>
      </c>
      <c r="E26" s="32" t="s">
        <v>28</v>
      </c>
      <c r="F26" s="27" t="s">
        <v>167</v>
      </c>
      <c r="G26" s="27" t="s">
        <v>168</v>
      </c>
    </row>
    <row r="27" customFormat="false" ht="21.75" hidden="false" customHeight="true" outlineLevel="0" collapsed="false">
      <c r="B27" s="36" t="s">
        <v>117</v>
      </c>
      <c r="C27" s="36"/>
      <c r="D27" s="36"/>
      <c r="E27" s="36"/>
      <c r="F27" s="36"/>
      <c r="G27" s="36"/>
    </row>
    <row r="28" customFormat="false" ht="33.75" hidden="false" customHeight="true" outlineLevel="0" collapsed="false">
      <c r="B28" s="32" t="n">
        <v>17</v>
      </c>
      <c r="C28" s="33" t="s">
        <v>118</v>
      </c>
      <c r="D28" s="27" t="s">
        <v>119</v>
      </c>
      <c r="E28" s="32" t="s">
        <v>28</v>
      </c>
      <c r="F28" s="27" t="s">
        <v>120</v>
      </c>
      <c r="G28" s="27" t="s">
        <v>121</v>
      </c>
    </row>
    <row r="29" customFormat="false" ht="33.75" hidden="false" customHeight="true" outlineLevel="0" collapsed="false">
      <c r="B29" s="32" t="n">
        <v>18</v>
      </c>
      <c r="C29" s="33" t="s">
        <v>122</v>
      </c>
      <c r="D29" s="27" t="s">
        <v>123</v>
      </c>
      <c r="E29" s="32" t="s">
        <v>28</v>
      </c>
      <c r="F29" s="27" t="s">
        <v>169</v>
      </c>
      <c r="G29" s="27" t="s">
        <v>170</v>
      </c>
    </row>
    <row r="30" customFormat="false" ht="33.75" hidden="false" customHeight="true" outlineLevel="0" collapsed="false">
      <c r="B30" s="32" t="n">
        <v>19</v>
      </c>
      <c r="C30" s="33" t="s">
        <v>124</v>
      </c>
      <c r="D30" s="27" t="s">
        <v>125</v>
      </c>
      <c r="E30" s="32" t="s">
        <v>28</v>
      </c>
      <c r="F30" s="27" t="s">
        <v>171</v>
      </c>
      <c r="G30" s="27" t="s">
        <v>172</v>
      </c>
    </row>
    <row r="31" customFormat="false" ht="33.75" hidden="false" customHeight="true" outlineLevel="0" collapsed="false">
      <c r="B31" s="32" t="n">
        <v>20</v>
      </c>
      <c r="C31" s="33" t="s">
        <v>126</v>
      </c>
      <c r="D31" s="27" t="s">
        <v>127</v>
      </c>
      <c r="E31" s="32" t="s">
        <v>24</v>
      </c>
      <c r="F31" s="27"/>
      <c r="G31" s="27"/>
    </row>
    <row r="32" customFormat="false" ht="33.75" hidden="false" customHeight="true" outlineLevel="0" collapsed="false">
      <c r="B32" s="32" t="n">
        <v>21</v>
      </c>
      <c r="C32" s="33" t="s">
        <v>128</v>
      </c>
      <c r="D32" s="27" t="s">
        <v>129</v>
      </c>
      <c r="E32" s="32" t="s">
        <v>28</v>
      </c>
      <c r="F32" s="27" t="s">
        <v>130</v>
      </c>
      <c r="G32" s="27" t="s">
        <v>131</v>
      </c>
    </row>
    <row r="33" customFormat="false" ht="33.75" hidden="false" customHeight="true" outlineLevel="0" collapsed="false">
      <c r="B33" s="32" t="n">
        <v>22</v>
      </c>
      <c r="C33" s="33" t="s">
        <v>132</v>
      </c>
      <c r="D33" s="27" t="s">
        <v>133</v>
      </c>
      <c r="E33" s="32" t="s">
        <v>24</v>
      </c>
      <c r="F33" s="27"/>
      <c r="G33" s="27"/>
    </row>
    <row r="35" customFormat="false" ht="15" hidden="false" customHeight="true" outlineLevel="0" collapsed="false">
      <c r="B35" s="28" t="s">
        <v>134</v>
      </c>
      <c r="C35" s="28"/>
      <c r="D35" s="37" t="n">
        <f aca="false">COUNTIF(E8:E33,"✗ No cumple")</f>
        <v>0</v>
      </c>
    </row>
    <row r="36" customFormat="false" ht="15" hidden="false" customHeight="true" outlineLevel="0" collapsed="false">
      <c r="B36" s="28" t="s">
        <v>135</v>
      </c>
      <c r="C36" s="28"/>
      <c r="D36" s="38" t="n">
        <f aca="false">COUNTIF(E8:E33,"⚠ Revisar")</f>
        <v>7</v>
      </c>
    </row>
    <row r="37" customFormat="false" ht="24" hidden="false" customHeight="true" outlineLevel="0" collapsed="false">
      <c r="B37" s="39" t="s">
        <v>136</v>
      </c>
      <c r="C37" s="39"/>
      <c r="D37" s="40" t="str">
        <f aca="false">IF(D35&gt;0,"RECHAZADA - corregir ambigüedades críticas",IF(D36&gt;0,"APROBADA CON OBSERVACIONES - aclarar pendientes","APROBADA - lista para BDD"))</f>
        <v>APROBADA CON OBSERVACIONES - aclarar pendientes</v>
      </c>
      <c r="E37" s="40"/>
      <c r="F37" s="40"/>
      <c r="G37" s="40"/>
    </row>
  </sheetData>
  <mergeCells count="13">
    <mergeCell ref="B2:G2"/>
    <mergeCell ref="B3:C3"/>
    <mergeCell ref="E3:F3"/>
    <mergeCell ref="B4:G4"/>
    <mergeCell ref="B5:G5"/>
    <mergeCell ref="B8:G8"/>
    <mergeCell ref="B14:G14"/>
    <mergeCell ref="B21:G21"/>
    <mergeCell ref="B27:G27"/>
    <mergeCell ref="B35:C35"/>
    <mergeCell ref="B36:C36"/>
    <mergeCell ref="B37:C37"/>
    <mergeCell ref="D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34"/>
  </cols>
  <sheetData>
    <row r="2" customFormat="false" ht="33.75" hidden="false" customHeight="true" outlineLevel="0" collapsed="false">
      <c r="B2" s="14" t="s">
        <v>66</v>
      </c>
      <c r="C2" s="14"/>
      <c r="D2" s="14"/>
      <c r="E2" s="14"/>
      <c r="F2" s="14"/>
      <c r="G2" s="14"/>
    </row>
    <row r="3" customFormat="false" ht="15" hidden="false" customHeight="true" outlineLevel="0" collapsed="false">
      <c r="B3" s="28" t="s">
        <v>67</v>
      </c>
      <c r="C3" s="28"/>
      <c r="D3" s="29" t="s">
        <v>173</v>
      </c>
      <c r="E3" s="28" t="s">
        <v>69</v>
      </c>
      <c r="F3" s="28"/>
      <c r="G3" s="29" t="s">
        <v>5</v>
      </c>
    </row>
    <row r="4" customFormat="false" ht="15" hidden="false" customHeight="true" outlineLevel="0" collapsed="false">
      <c r="B4" s="28" t="s">
        <v>70</v>
      </c>
      <c r="C4" s="28"/>
      <c r="D4" s="28"/>
      <c r="E4" s="28"/>
      <c r="F4" s="28"/>
      <c r="G4" s="28"/>
    </row>
    <row r="5" customFormat="false" ht="30" hidden="false" customHeight="true" outlineLevel="0" collapsed="false">
      <c r="B5" s="30" t="s">
        <v>174</v>
      </c>
      <c r="C5" s="30"/>
      <c r="D5" s="30"/>
      <c r="E5" s="30"/>
      <c r="F5" s="30"/>
      <c r="G5" s="30"/>
    </row>
    <row r="7" customFormat="false" ht="24" hidden="false" customHeight="true" outlineLevel="0" collapsed="false">
      <c r="B7" s="22" t="s">
        <v>72</v>
      </c>
      <c r="C7" s="22" t="s">
        <v>73</v>
      </c>
      <c r="D7" s="22" t="s">
        <v>74</v>
      </c>
      <c r="E7" s="22" t="s">
        <v>75</v>
      </c>
      <c r="F7" s="22" t="s">
        <v>76</v>
      </c>
      <c r="G7" s="22" t="s">
        <v>77</v>
      </c>
    </row>
    <row r="8" customFormat="false" ht="21.75" hidden="false" customHeight="true" outlineLevel="0" collapsed="false">
      <c r="B8" s="31" t="s">
        <v>78</v>
      </c>
      <c r="C8" s="31"/>
      <c r="D8" s="31"/>
      <c r="E8" s="31"/>
      <c r="F8" s="31"/>
      <c r="G8" s="31"/>
    </row>
    <row r="9" customFormat="false" ht="33.75" hidden="false" customHeight="true" outlineLevel="0" collapsed="false">
      <c r="B9" s="32" t="n">
        <v>1</v>
      </c>
      <c r="C9" s="33" t="s">
        <v>79</v>
      </c>
      <c r="D9" s="27" t="s">
        <v>80</v>
      </c>
      <c r="E9" s="32" t="s">
        <v>24</v>
      </c>
      <c r="F9" s="27"/>
      <c r="G9" s="27"/>
    </row>
    <row r="10" customFormat="false" ht="33.75" hidden="false" customHeight="true" outlineLevel="0" collapsed="false">
      <c r="B10" s="32" t="n">
        <v>2</v>
      </c>
      <c r="C10" s="33" t="s">
        <v>81</v>
      </c>
      <c r="D10" s="27" t="s">
        <v>82</v>
      </c>
      <c r="E10" s="32" t="s">
        <v>28</v>
      </c>
      <c r="F10" s="27" t="s">
        <v>83</v>
      </c>
      <c r="G10" s="27" t="s">
        <v>84</v>
      </c>
    </row>
    <row r="11" customFormat="false" ht="33.75" hidden="false" customHeight="true" outlineLevel="0" collapsed="false">
      <c r="B11" s="32" t="n">
        <v>3</v>
      </c>
      <c r="C11" s="33" t="s">
        <v>85</v>
      </c>
      <c r="D11" s="27" t="s">
        <v>86</v>
      </c>
      <c r="E11" s="32" t="s">
        <v>24</v>
      </c>
      <c r="F11" s="27"/>
      <c r="G11" s="27"/>
    </row>
    <row r="12" customFormat="false" ht="33.75" hidden="false" customHeight="true" outlineLevel="0" collapsed="false">
      <c r="B12" s="32" t="n">
        <v>4</v>
      </c>
      <c r="C12" s="33" t="s">
        <v>87</v>
      </c>
      <c r="D12" s="27" t="s">
        <v>88</v>
      </c>
      <c r="E12" s="32" t="s">
        <v>24</v>
      </c>
      <c r="F12" s="27"/>
      <c r="G12" s="27"/>
    </row>
    <row r="13" customFormat="false" ht="33.75" hidden="false" customHeight="true" outlineLevel="0" collapsed="false">
      <c r="B13" s="32" t="n">
        <v>5</v>
      </c>
      <c r="C13" s="33" t="s">
        <v>89</v>
      </c>
      <c r="D13" s="27" t="s">
        <v>90</v>
      </c>
      <c r="E13" s="32" t="s">
        <v>24</v>
      </c>
      <c r="F13" s="27"/>
      <c r="G13" s="27"/>
    </row>
    <row r="14" customFormat="false" ht="21.75" hidden="false" customHeight="true" outlineLevel="0" collapsed="false">
      <c r="B14" s="34" t="s">
        <v>91</v>
      </c>
      <c r="C14" s="34"/>
      <c r="D14" s="34"/>
      <c r="E14" s="34"/>
      <c r="F14" s="34"/>
      <c r="G14" s="34"/>
    </row>
    <row r="15" customFormat="false" ht="33.75" hidden="false" customHeight="true" outlineLevel="0" collapsed="false">
      <c r="B15" s="32" t="n">
        <v>6</v>
      </c>
      <c r="C15" s="33" t="s">
        <v>92</v>
      </c>
      <c r="D15" s="27" t="s">
        <v>93</v>
      </c>
      <c r="E15" s="32" t="s">
        <v>24</v>
      </c>
      <c r="F15" s="27"/>
      <c r="G15" s="27"/>
    </row>
    <row r="16" customFormat="false" ht="33.75" hidden="false" customHeight="true" outlineLevel="0" collapsed="false">
      <c r="B16" s="32" t="n">
        <v>7</v>
      </c>
      <c r="C16" s="33" t="s">
        <v>94</v>
      </c>
      <c r="D16" s="27" t="s">
        <v>95</v>
      </c>
      <c r="E16" s="32" t="s">
        <v>24</v>
      </c>
      <c r="F16" s="27"/>
      <c r="G16" s="27"/>
    </row>
    <row r="17" customFormat="false" ht="33.75" hidden="false" customHeight="true" outlineLevel="0" collapsed="false">
      <c r="B17" s="32" t="n">
        <v>8</v>
      </c>
      <c r="C17" s="33" t="s">
        <v>96</v>
      </c>
      <c r="D17" s="27" t="s">
        <v>97</v>
      </c>
      <c r="E17" s="32" t="s">
        <v>24</v>
      </c>
      <c r="F17" s="27"/>
      <c r="G17" s="27"/>
    </row>
    <row r="18" customFormat="false" ht="33.75" hidden="false" customHeight="true" outlineLevel="0" collapsed="false">
      <c r="B18" s="32" t="n">
        <v>9</v>
      </c>
      <c r="C18" s="33" t="s">
        <v>98</v>
      </c>
      <c r="D18" s="27" t="s">
        <v>99</v>
      </c>
      <c r="E18" s="32" t="s">
        <v>24</v>
      </c>
      <c r="F18" s="27"/>
      <c r="G18" s="27"/>
    </row>
    <row r="19" customFormat="false" ht="33.75" hidden="false" customHeight="true" outlineLevel="0" collapsed="false">
      <c r="B19" s="32" t="n">
        <v>10</v>
      </c>
      <c r="C19" s="33" t="s">
        <v>100</v>
      </c>
      <c r="D19" s="27" t="s">
        <v>101</v>
      </c>
      <c r="E19" s="32" t="s">
        <v>24</v>
      </c>
      <c r="F19" s="27"/>
      <c r="G19" s="27"/>
    </row>
    <row r="20" customFormat="false" ht="33.75" hidden="false" customHeight="true" outlineLevel="0" collapsed="false">
      <c r="B20" s="32" t="n">
        <v>11</v>
      </c>
      <c r="C20" s="33" t="s">
        <v>102</v>
      </c>
      <c r="D20" s="27" t="s">
        <v>103</v>
      </c>
      <c r="E20" s="32" t="s">
        <v>24</v>
      </c>
      <c r="F20" s="27"/>
      <c r="G20" s="27"/>
    </row>
    <row r="21" customFormat="false" ht="21.75" hidden="false" customHeight="true" outlineLevel="0" collapsed="false">
      <c r="B21" s="35" t="s">
        <v>104</v>
      </c>
      <c r="C21" s="35"/>
      <c r="D21" s="35"/>
      <c r="E21" s="35"/>
      <c r="F21" s="35"/>
      <c r="G21" s="35"/>
    </row>
    <row r="22" customFormat="false" ht="33.75" hidden="false" customHeight="true" outlineLevel="0" collapsed="false">
      <c r="B22" s="32" t="n">
        <v>12</v>
      </c>
      <c r="C22" s="33" t="s">
        <v>105</v>
      </c>
      <c r="D22" s="27" t="s">
        <v>106</v>
      </c>
      <c r="E22" s="32" t="s">
        <v>24</v>
      </c>
      <c r="F22" s="27"/>
      <c r="G22" s="27"/>
    </row>
    <row r="23" customFormat="false" ht="33.75" hidden="false" customHeight="true" outlineLevel="0" collapsed="false">
      <c r="B23" s="32" t="n">
        <v>13</v>
      </c>
      <c r="C23" s="33" t="s">
        <v>107</v>
      </c>
      <c r="D23" s="27" t="s">
        <v>108</v>
      </c>
      <c r="E23" s="32" t="s">
        <v>24</v>
      </c>
      <c r="F23" s="27"/>
      <c r="G23" s="27"/>
    </row>
    <row r="24" customFormat="false" ht="33.75" hidden="false" customHeight="true" outlineLevel="0" collapsed="false">
      <c r="B24" s="32" t="n">
        <v>14</v>
      </c>
      <c r="C24" s="33" t="s">
        <v>109</v>
      </c>
      <c r="D24" s="27" t="s">
        <v>110</v>
      </c>
      <c r="E24" s="32" t="s">
        <v>30</v>
      </c>
      <c r="F24" s="27"/>
      <c r="G24" s="27"/>
    </row>
    <row r="25" customFormat="false" ht="33.75" hidden="false" customHeight="true" outlineLevel="0" collapsed="false">
      <c r="B25" s="32" t="n">
        <v>15</v>
      </c>
      <c r="C25" s="33" t="s">
        <v>111</v>
      </c>
      <c r="D25" s="27" t="s">
        <v>112</v>
      </c>
      <c r="E25" s="32" t="s">
        <v>30</v>
      </c>
      <c r="F25" s="27"/>
      <c r="G25" s="27"/>
    </row>
    <row r="26" customFormat="false" ht="33.75" hidden="false" customHeight="true" outlineLevel="0" collapsed="false">
      <c r="B26" s="32" t="n">
        <v>16</v>
      </c>
      <c r="C26" s="33" t="s">
        <v>113</v>
      </c>
      <c r="D26" s="27" t="s">
        <v>114</v>
      </c>
      <c r="E26" s="32" t="s">
        <v>28</v>
      </c>
      <c r="F26" s="27" t="s">
        <v>175</v>
      </c>
      <c r="G26" s="27" t="s">
        <v>176</v>
      </c>
    </row>
    <row r="27" customFormat="false" ht="21.75" hidden="false" customHeight="true" outlineLevel="0" collapsed="false">
      <c r="B27" s="36" t="s">
        <v>117</v>
      </c>
      <c r="C27" s="36"/>
      <c r="D27" s="36"/>
      <c r="E27" s="36"/>
      <c r="F27" s="36"/>
      <c r="G27" s="36"/>
    </row>
    <row r="28" customFormat="false" ht="33.75" hidden="false" customHeight="true" outlineLevel="0" collapsed="false">
      <c r="B28" s="32" t="n">
        <v>17</v>
      </c>
      <c r="C28" s="33" t="s">
        <v>118</v>
      </c>
      <c r="D28" s="27" t="s">
        <v>119</v>
      </c>
      <c r="E28" s="32" t="s">
        <v>28</v>
      </c>
      <c r="F28" s="27" t="s">
        <v>120</v>
      </c>
      <c r="G28" s="27" t="s">
        <v>121</v>
      </c>
    </row>
    <row r="29" customFormat="false" ht="33.75" hidden="false" customHeight="true" outlineLevel="0" collapsed="false">
      <c r="B29" s="32" t="n">
        <v>18</v>
      </c>
      <c r="C29" s="33" t="s">
        <v>122</v>
      </c>
      <c r="D29" s="27" t="s">
        <v>123</v>
      </c>
      <c r="E29" s="32" t="s">
        <v>24</v>
      </c>
      <c r="F29" s="27"/>
      <c r="G29" s="27"/>
    </row>
    <row r="30" customFormat="false" ht="33.75" hidden="false" customHeight="true" outlineLevel="0" collapsed="false">
      <c r="B30" s="32" t="n">
        <v>19</v>
      </c>
      <c r="C30" s="33" t="s">
        <v>124</v>
      </c>
      <c r="D30" s="27" t="s">
        <v>125</v>
      </c>
      <c r="E30" s="32" t="s">
        <v>30</v>
      </c>
      <c r="F30" s="27"/>
      <c r="G30" s="27"/>
    </row>
    <row r="31" customFormat="false" ht="33.75" hidden="false" customHeight="true" outlineLevel="0" collapsed="false">
      <c r="B31" s="32" t="n">
        <v>20</v>
      </c>
      <c r="C31" s="33" t="s">
        <v>126</v>
      </c>
      <c r="D31" s="27" t="s">
        <v>127</v>
      </c>
      <c r="E31" s="32" t="s">
        <v>24</v>
      </c>
      <c r="F31" s="27"/>
      <c r="G31" s="27"/>
    </row>
    <row r="32" customFormat="false" ht="33.75" hidden="false" customHeight="true" outlineLevel="0" collapsed="false">
      <c r="B32" s="32" t="n">
        <v>21</v>
      </c>
      <c r="C32" s="33" t="s">
        <v>128</v>
      </c>
      <c r="D32" s="27" t="s">
        <v>129</v>
      </c>
      <c r="E32" s="32" t="s">
        <v>28</v>
      </c>
      <c r="F32" s="27" t="s">
        <v>130</v>
      </c>
      <c r="G32" s="27" t="s">
        <v>131</v>
      </c>
    </row>
    <row r="33" customFormat="false" ht="33.75" hidden="false" customHeight="true" outlineLevel="0" collapsed="false">
      <c r="B33" s="32" t="n">
        <v>22</v>
      </c>
      <c r="C33" s="33" t="s">
        <v>132</v>
      </c>
      <c r="D33" s="27" t="s">
        <v>133</v>
      </c>
      <c r="E33" s="32" t="s">
        <v>24</v>
      </c>
      <c r="F33" s="27"/>
      <c r="G33" s="27"/>
    </row>
    <row r="35" customFormat="false" ht="15" hidden="false" customHeight="true" outlineLevel="0" collapsed="false">
      <c r="B35" s="28" t="s">
        <v>134</v>
      </c>
      <c r="C35" s="28"/>
      <c r="D35" s="37" t="n">
        <f aca="false">COUNTIF(E8:E33,"✗ No cumple")</f>
        <v>0</v>
      </c>
    </row>
    <row r="36" customFormat="false" ht="15" hidden="false" customHeight="true" outlineLevel="0" collapsed="false">
      <c r="B36" s="28" t="s">
        <v>135</v>
      </c>
      <c r="C36" s="28"/>
      <c r="D36" s="38" t="n">
        <f aca="false">COUNTIF(E8:E33,"⚠ Revisar")</f>
        <v>4</v>
      </c>
    </row>
    <row r="37" customFormat="false" ht="24" hidden="false" customHeight="true" outlineLevel="0" collapsed="false">
      <c r="B37" s="39" t="s">
        <v>136</v>
      </c>
      <c r="C37" s="39"/>
      <c r="D37" s="40" t="str">
        <f aca="false">IF(D35&gt;0,"RECHAZADA - corregir ambigüedades críticas",IF(D36&gt;0,"APROBADA CON OBSERVACIONES - aclarar pendientes","APROBADA - lista para BDD"))</f>
        <v>APROBADA CON OBSERVACIONES - aclarar pendientes</v>
      </c>
      <c r="E37" s="40"/>
      <c r="F37" s="40"/>
      <c r="G37" s="40"/>
    </row>
  </sheetData>
  <mergeCells count="13">
    <mergeCell ref="B2:G2"/>
    <mergeCell ref="B3:C3"/>
    <mergeCell ref="E3:F3"/>
    <mergeCell ref="B4:G4"/>
    <mergeCell ref="B5:G5"/>
    <mergeCell ref="B8:G8"/>
    <mergeCell ref="B14:G14"/>
    <mergeCell ref="B21:G21"/>
    <mergeCell ref="B27:G27"/>
    <mergeCell ref="B35:C35"/>
    <mergeCell ref="B36:C36"/>
    <mergeCell ref="B37:C37"/>
    <mergeCell ref="D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34"/>
  </cols>
  <sheetData>
    <row r="2" customFormat="false" ht="33.75" hidden="false" customHeight="true" outlineLevel="0" collapsed="false">
      <c r="B2" s="14" t="s">
        <v>66</v>
      </c>
      <c r="C2" s="14"/>
      <c r="D2" s="14"/>
      <c r="E2" s="14"/>
      <c r="F2" s="14"/>
      <c r="G2" s="14"/>
    </row>
    <row r="3" customFormat="false" ht="15" hidden="false" customHeight="true" outlineLevel="0" collapsed="false">
      <c r="B3" s="28" t="s">
        <v>67</v>
      </c>
      <c r="C3" s="28"/>
      <c r="D3" s="29" t="s">
        <v>177</v>
      </c>
      <c r="E3" s="28" t="s">
        <v>69</v>
      </c>
      <c r="F3" s="28"/>
      <c r="G3" s="29" t="s">
        <v>5</v>
      </c>
    </row>
    <row r="4" customFormat="false" ht="15" hidden="false" customHeight="true" outlineLevel="0" collapsed="false">
      <c r="B4" s="28" t="s">
        <v>70</v>
      </c>
      <c r="C4" s="28"/>
      <c r="D4" s="28"/>
      <c r="E4" s="28"/>
      <c r="F4" s="28"/>
      <c r="G4" s="28"/>
    </row>
    <row r="5" customFormat="false" ht="30" hidden="false" customHeight="true" outlineLevel="0" collapsed="false">
      <c r="B5" s="30" t="s">
        <v>178</v>
      </c>
      <c r="C5" s="30"/>
      <c r="D5" s="30"/>
      <c r="E5" s="30"/>
      <c r="F5" s="30"/>
      <c r="G5" s="30"/>
    </row>
    <row r="7" customFormat="false" ht="24" hidden="false" customHeight="true" outlineLevel="0" collapsed="false">
      <c r="B7" s="22" t="s">
        <v>72</v>
      </c>
      <c r="C7" s="22" t="s">
        <v>73</v>
      </c>
      <c r="D7" s="22" t="s">
        <v>74</v>
      </c>
      <c r="E7" s="22" t="s">
        <v>75</v>
      </c>
      <c r="F7" s="22" t="s">
        <v>76</v>
      </c>
      <c r="G7" s="22" t="s">
        <v>77</v>
      </c>
    </row>
    <row r="8" customFormat="false" ht="21.75" hidden="false" customHeight="true" outlineLevel="0" collapsed="false">
      <c r="B8" s="31" t="s">
        <v>78</v>
      </c>
      <c r="C8" s="31"/>
      <c r="D8" s="31"/>
      <c r="E8" s="31"/>
      <c r="F8" s="31"/>
      <c r="G8" s="31"/>
    </row>
    <row r="9" customFormat="false" ht="33.75" hidden="false" customHeight="true" outlineLevel="0" collapsed="false">
      <c r="B9" s="32" t="n">
        <v>1</v>
      </c>
      <c r="C9" s="33" t="s">
        <v>79</v>
      </c>
      <c r="D9" s="27" t="s">
        <v>80</v>
      </c>
      <c r="E9" s="32" t="s">
        <v>24</v>
      </c>
      <c r="F9" s="27"/>
      <c r="G9" s="27"/>
    </row>
    <row r="10" customFormat="false" ht="33.75" hidden="false" customHeight="true" outlineLevel="0" collapsed="false">
      <c r="B10" s="32" t="n">
        <v>2</v>
      </c>
      <c r="C10" s="33" t="s">
        <v>81</v>
      </c>
      <c r="D10" s="27" t="s">
        <v>82</v>
      </c>
      <c r="E10" s="32" t="s">
        <v>28</v>
      </c>
      <c r="F10" s="27" t="s">
        <v>83</v>
      </c>
      <c r="G10" s="27" t="s">
        <v>84</v>
      </c>
    </row>
    <row r="11" customFormat="false" ht="33.75" hidden="false" customHeight="true" outlineLevel="0" collapsed="false">
      <c r="B11" s="32" t="n">
        <v>3</v>
      </c>
      <c r="C11" s="33" t="s">
        <v>85</v>
      </c>
      <c r="D11" s="27" t="s">
        <v>86</v>
      </c>
      <c r="E11" s="32" t="s">
        <v>24</v>
      </c>
      <c r="F11" s="27"/>
      <c r="G11" s="27"/>
    </row>
    <row r="12" customFormat="false" ht="33.75" hidden="false" customHeight="true" outlineLevel="0" collapsed="false">
      <c r="B12" s="32" t="n">
        <v>4</v>
      </c>
      <c r="C12" s="33" t="s">
        <v>87</v>
      </c>
      <c r="D12" s="27" t="s">
        <v>88</v>
      </c>
      <c r="E12" s="32" t="s">
        <v>24</v>
      </c>
      <c r="F12" s="27"/>
      <c r="G12" s="27"/>
    </row>
    <row r="13" customFormat="false" ht="33.75" hidden="false" customHeight="true" outlineLevel="0" collapsed="false">
      <c r="B13" s="32" t="n">
        <v>5</v>
      </c>
      <c r="C13" s="33" t="s">
        <v>89</v>
      </c>
      <c r="D13" s="27" t="s">
        <v>90</v>
      </c>
      <c r="E13" s="32" t="s">
        <v>24</v>
      </c>
      <c r="F13" s="27"/>
      <c r="G13" s="27"/>
    </row>
    <row r="14" customFormat="false" ht="21.75" hidden="false" customHeight="true" outlineLevel="0" collapsed="false">
      <c r="B14" s="34" t="s">
        <v>91</v>
      </c>
      <c r="C14" s="34"/>
      <c r="D14" s="34"/>
      <c r="E14" s="34"/>
      <c r="F14" s="34"/>
      <c r="G14" s="34"/>
    </row>
    <row r="15" customFormat="false" ht="33.75" hidden="false" customHeight="true" outlineLevel="0" collapsed="false">
      <c r="B15" s="32" t="n">
        <v>6</v>
      </c>
      <c r="C15" s="33" t="s">
        <v>92</v>
      </c>
      <c r="D15" s="27" t="s">
        <v>93</v>
      </c>
      <c r="E15" s="32" t="s">
        <v>24</v>
      </c>
      <c r="F15" s="27"/>
      <c r="G15" s="27"/>
    </row>
    <row r="16" customFormat="false" ht="33.75" hidden="false" customHeight="true" outlineLevel="0" collapsed="false">
      <c r="B16" s="32" t="n">
        <v>7</v>
      </c>
      <c r="C16" s="33" t="s">
        <v>94</v>
      </c>
      <c r="D16" s="27" t="s">
        <v>95</v>
      </c>
      <c r="E16" s="32" t="s">
        <v>24</v>
      </c>
      <c r="F16" s="27"/>
      <c r="G16" s="27"/>
    </row>
    <row r="17" customFormat="false" ht="33.75" hidden="false" customHeight="true" outlineLevel="0" collapsed="false">
      <c r="B17" s="32" t="n">
        <v>8</v>
      </c>
      <c r="C17" s="33" t="s">
        <v>96</v>
      </c>
      <c r="D17" s="27" t="s">
        <v>97</v>
      </c>
      <c r="E17" s="32" t="s">
        <v>24</v>
      </c>
      <c r="F17" s="27"/>
      <c r="G17" s="27"/>
    </row>
    <row r="18" customFormat="false" ht="33.75" hidden="false" customHeight="true" outlineLevel="0" collapsed="false">
      <c r="B18" s="32" t="n">
        <v>9</v>
      </c>
      <c r="C18" s="33" t="s">
        <v>98</v>
      </c>
      <c r="D18" s="27" t="s">
        <v>99</v>
      </c>
      <c r="E18" s="32" t="s">
        <v>24</v>
      </c>
      <c r="F18" s="27"/>
      <c r="G18" s="27"/>
    </row>
    <row r="19" customFormat="false" ht="33.75" hidden="false" customHeight="true" outlineLevel="0" collapsed="false">
      <c r="B19" s="32" t="n">
        <v>10</v>
      </c>
      <c r="C19" s="33" t="s">
        <v>100</v>
      </c>
      <c r="D19" s="27" t="s">
        <v>101</v>
      </c>
      <c r="E19" s="32" t="s">
        <v>24</v>
      </c>
      <c r="F19" s="27"/>
      <c r="G19" s="27"/>
    </row>
    <row r="20" customFormat="false" ht="33.75" hidden="false" customHeight="true" outlineLevel="0" collapsed="false">
      <c r="B20" s="32" t="n">
        <v>11</v>
      </c>
      <c r="C20" s="33" t="s">
        <v>102</v>
      </c>
      <c r="D20" s="27" t="s">
        <v>103</v>
      </c>
      <c r="E20" s="32" t="s">
        <v>24</v>
      </c>
      <c r="F20" s="27"/>
      <c r="G20" s="27"/>
    </row>
    <row r="21" customFormat="false" ht="21.75" hidden="false" customHeight="true" outlineLevel="0" collapsed="false">
      <c r="B21" s="35" t="s">
        <v>104</v>
      </c>
      <c r="C21" s="35"/>
      <c r="D21" s="35"/>
      <c r="E21" s="35"/>
      <c r="F21" s="35"/>
      <c r="G21" s="35"/>
    </row>
    <row r="22" customFormat="false" ht="33.75" hidden="false" customHeight="true" outlineLevel="0" collapsed="false">
      <c r="B22" s="32" t="n">
        <v>12</v>
      </c>
      <c r="C22" s="33" t="s">
        <v>105</v>
      </c>
      <c r="D22" s="27" t="s">
        <v>106</v>
      </c>
      <c r="E22" s="32" t="s">
        <v>24</v>
      </c>
      <c r="F22" s="27"/>
      <c r="G22" s="27"/>
    </row>
    <row r="23" customFormat="false" ht="33.75" hidden="false" customHeight="true" outlineLevel="0" collapsed="false">
      <c r="B23" s="32" t="n">
        <v>13</v>
      </c>
      <c r="C23" s="33" t="s">
        <v>107</v>
      </c>
      <c r="D23" s="27" t="s">
        <v>108</v>
      </c>
      <c r="E23" s="32" t="s">
        <v>24</v>
      </c>
      <c r="F23" s="27"/>
      <c r="G23" s="27"/>
    </row>
    <row r="24" customFormat="false" ht="33.75" hidden="false" customHeight="true" outlineLevel="0" collapsed="false">
      <c r="B24" s="32" t="n">
        <v>14</v>
      </c>
      <c r="C24" s="33" t="s">
        <v>109</v>
      </c>
      <c r="D24" s="27" t="s">
        <v>110</v>
      </c>
      <c r="E24" s="32" t="s">
        <v>30</v>
      </c>
      <c r="F24" s="27"/>
      <c r="G24" s="27"/>
    </row>
    <row r="25" customFormat="false" ht="33.75" hidden="false" customHeight="true" outlineLevel="0" collapsed="false">
      <c r="B25" s="32" t="n">
        <v>15</v>
      </c>
      <c r="C25" s="33" t="s">
        <v>111</v>
      </c>
      <c r="D25" s="27" t="s">
        <v>112</v>
      </c>
      <c r="E25" s="32" t="s">
        <v>30</v>
      </c>
      <c r="F25" s="27"/>
      <c r="G25" s="27"/>
    </row>
    <row r="26" customFormat="false" ht="33.75" hidden="false" customHeight="true" outlineLevel="0" collapsed="false">
      <c r="B26" s="32" t="n">
        <v>16</v>
      </c>
      <c r="C26" s="33" t="s">
        <v>113</v>
      </c>
      <c r="D26" s="27" t="s">
        <v>114</v>
      </c>
      <c r="E26" s="32" t="s">
        <v>28</v>
      </c>
      <c r="F26" s="27" t="s">
        <v>179</v>
      </c>
      <c r="G26" s="27" t="s">
        <v>180</v>
      </c>
    </row>
    <row r="27" customFormat="false" ht="21.75" hidden="false" customHeight="true" outlineLevel="0" collapsed="false">
      <c r="B27" s="36" t="s">
        <v>117</v>
      </c>
      <c r="C27" s="36"/>
      <c r="D27" s="36"/>
      <c r="E27" s="36"/>
      <c r="F27" s="36"/>
      <c r="G27" s="36"/>
    </row>
    <row r="28" customFormat="false" ht="33.75" hidden="false" customHeight="true" outlineLevel="0" collapsed="false">
      <c r="B28" s="32" t="n">
        <v>17</v>
      </c>
      <c r="C28" s="33" t="s">
        <v>118</v>
      </c>
      <c r="D28" s="27" t="s">
        <v>119</v>
      </c>
      <c r="E28" s="32" t="s">
        <v>28</v>
      </c>
      <c r="F28" s="27" t="s">
        <v>120</v>
      </c>
      <c r="G28" s="27" t="s">
        <v>121</v>
      </c>
    </row>
    <row r="29" customFormat="false" ht="33.75" hidden="false" customHeight="true" outlineLevel="0" collapsed="false">
      <c r="B29" s="32" t="n">
        <v>18</v>
      </c>
      <c r="C29" s="33" t="s">
        <v>122</v>
      </c>
      <c r="D29" s="27" t="s">
        <v>123</v>
      </c>
      <c r="E29" s="32" t="s">
        <v>24</v>
      </c>
      <c r="F29" s="27"/>
      <c r="G29" s="27"/>
    </row>
    <row r="30" customFormat="false" ht="33.75" hidden="false" customHeight="true" outlineLevel="0" collapsed="false">
      <c r="B30" s="32" t="n">
        <v>19</v>
      </c>
      <c r="C30" s="33" t="s">
        <v>124</v>
      </c>
      <c r="D30" s="27" t="s">
        <v>125</v>
      </c>
      <c r="E30" s="32" t="s">
        <v>30</v>
      </c>
      <c r="F30" s="27"/>
      <c r="G30" s="27"/>
    </row>
    <row r="31" customFormat="false" ht="33.75" hidden="false" customHeight="true" outlineLevel="0" collapsed="false">
      <c r="B31" s="32" t="n">
        <v>20</v>
      </c>
      <c r="C31" s="33" t="s">
        <v>126</v>
      </c>
      <c r="D31" s="27" t="s">
        <v>127</v>
      </c>
      <c r="E31" s="32" t="s">
        <v>24</v>
      </c>
      <c r="F31" s="27"/>
      <c r="G31" s="27"/>
    </row>
    <row r="32" customFormat="false" ht="33.75" hidden="false" customHeight="true" outlineLevel="0" collapsed="false">
      <c r="B32" s="32" t="n">
        <v>21</v>
      </c>
      <c r="C32" s="33" t="s">
        <v>128</v>
      </c>
      <c r="D32" s="27" t="s">
        <v>129</v>
      </c>
      <c r="E32" s="32" t="s">
        <v>28</v>
      </c>
      <c r="F32" s="27" t="s">
        <v>130</v>
      </c>
      <c r="G32" s="27" t="s">
        <v>131</v>
      </c>
    </row>
    <row r="33" customFormat="false" ht="33.75" hidden="false" customHeight="true" outlineLevel="0" collapsed="false">
      <c r="B33" s="32" t="n">
        <v>22</v>
      </c>
      <c r="C33" s="33" t="s">
        <v>132</v>
      </c>
      <c r="D33" s="27" t="s">
        <v>133</v>
      </c>
      <c r="E33" s="32" t="s">
        <v>24</v>
      </c>
      <c r="F33" s="27"/>
      <c r="G33" s="27"/>
    </row>
    <row r="35" customFormat="false" ht="15" hidden="false" customHeight="true" outlineLevel="0" collapsed="false">
      <c r="B35" s="28" t="s">
        <v>134</v>
      </c>
      <c r="C35" s="28"/>
      <c r="D35" s="37" t="n">
        <f aca="false">COUNTIF(E8:E33,"✗ No cumple")</f>
        <v>0</v>
      </c>
    </row>
    <row r="36" customFormat="false" ht="15" hidden="false" customHeight="true" outlineLevel="0" collapsed="false">
      <c r="B36" s="28" t="s">
        <v>135</v>
      </c>
      <c r="C36" s="28"/>
      <c r="D36" s="38" t="n">
        <f aca="false">COUNTIF(E8:E33,"⚠ Revisar")</f>
        <v>4</v>
      </c>
    </row>
    <row r="37" customFormat="false" ht="24" hidden="false" customHeight="true" outlineLevel="0" collapsed="false">
      <c r="B37" s="39" t="s">
        <v>136</v>
      </c>
      <c r="C37" s="39"/>
      <c r="D37" s="40" t="str">
        <f aca="false">IF(D35&gt;0,"RECHAZADA - corregir ambigüedades críticas",IF(D36&gt;0,"APROBADA CON OBSERVACIONES - aclarar pendientes","APROBADA - lista para BDD"))</f>
        <v>APROBADA CON OBSERVACIONES - aclarar pendientes</v>
      </c>
      <c r="E37" s="40"/>
      <c r="F37" s="40"/>
      <c r="G37" s="40"/>
    </row>
  </sheetData>
  <mergeCells count="13">
    <mergeCell ref="B2:G2"/>
    <mergeCell ref="B3:C3"/>
    <mergeCell ref="E3:F3"/>
    <mergeCell ref="B4:G4"/>
    <mergeCell ref="B5:G5"/>
    <mergeCell ref="B8:G8"/>
    <mergeCell ref="B14:G14"/>
    <mergeCell ref="B21:G21"/>
    <mergeCell ref="B27:G27"/>
    <mergeCell ref="B35:C35"/>
    <mergeCell ref="B36:C36"/>
    <mergeCell ref="B37:C37"/>
    <mergeCell ref="D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34"/>
  </cols>
  <sheetData>
    <row r="2" customFormat="false" ht="33.75" hidden="false" customHeight="true" outlineLevel="0" collapsed="false">
      <c r="B2" s="14" t="s">
        <v>66</v>
      </c>
      <c r="C2" s="14"/>
      <c r="D2" s="14"/>
      <c r="E2" s="14"/>
      <c r="F2" s="14"/>
      <c r="G2" s="14"/>
    </row>
    <row r="3" customFormat="false" ht="15" hidden="false" customHeight="true" outlineLevel="0" collapsed="false">
      <c r="B3" s="28" t="s">
        <v>67</v>
      </c>
      <c r="C3" s="28"/>
      <c r="D3" s="29" t="s">
        <v>181</v>
      </c>
      <c r="E3" s="28" t="s">
        <v>69</v>
      </c>
      <c r="F3" s="28"/>
      <c r="G3" s="29" t="s">
        <v>5</v>
      </c>
    </row>
    <row r="4" customFormat="false" ht="15" hidden="false" customHeight="true" outlineLevel="0" collapsed="false">
      <c r="B4" s="28" t="s">
        <v>70</v>
      </c>
      <c r="C4" s="28"/>
      <c r="D4" s="28"/>
      <c r="E4" s="28"/>
      <c r="F4" s="28"/>
      <c r="G4" s="28"/>
    </row>
    <row r="5" customFormat="false" ht="30" hidden="false" customHeight="true" outlineLevel="0" collapsed="false">
      <c r="B5" s="30" t="s">
        <v>182</v>
      </c>
      <c r="C5" s="30"/>
      <c r="D5" s="30"/>
      <c r="E5" s="30"/>
      <c r="F5" s="30"/>
      <c r="G5" s="30"/>
    </row>
    <row r="7" customFormat="false" ht="24" hidden="false" customHeight="true" outlineLevel="0" collapsed="false">
      <c r="B7" s="22" t="s">
        <v>72</v>
      </c>
      <c r="C7" s="22" t="s">
        <v>73</v>
      </c>
      <c r="D7" s="22" t="s">
        <v>74</v>
      </c>
      <c r="E7" s="22" t="s">
        <v>75</v>
      </c>
      <c r="F7" s="22" t="s">
        <v>76</v>
      </c>
      <c r="G7" s="22" t="s">
        <v>77</v>
      </c>
    </row>
    <row r="8" customFormat="false" ht="21.75" hidden="false" customHeight="true" outlineLevel="0" collapsed="false">
      <c r="B8" s="31" t="s">
        <v>78</v>
      </c>
      <c r="C8" s="31"/>
      <c r="D8" s="31"/>
      <c r="E8" s="31"/>
      <c r="F8" s="31"/>
      <c r="G8" s="31"/>
    </row>
    <row r="9" customFormat="false" ht="33.75" hidden="false" customHeight="true" outlineLevel="0" collapsed="false">
      <c r="B9" s="32" t="n">
        <v>1</v>
      </c>
      <c r="C9" s="33" t="s">
        <v>79</v>
      </c>
      <c r="D9" s="27" t="s">
        <v>80</v>
      </c>
      <c r="E9" s="32" t="s">
        <v>24</v>
      </c>
      <c r="F9" s="27"/>
      <c r="G9" s="27"/>
    </row>
    <row r="10" customFormat="false" ht="33.75" hidden="false" customHeight="true" outlineLevel="0" collapsed="false">
      <c r="B10" s="32" t="n">
        <v>2</v>
      </c>
      <c r="C10" s="33" t="s">
        <v>81</v>
      </c>
      <c r="D10" s="27" t="s">
        <v>82</v>
      </c>
      <c r="E10" s="32" t="s">
        <v>28</v>
      </c>
      <c r="F10" s="27" t="s">
        <v>83</v>
      </c>
      <c r="G10" s="27" t="s">
        <v>84</v>
      </c>
    </row>
    <row r="11" customFormat="false" ht="33.75" hidden="false" customHeight="true" outlineLevel="0" collapsed="false">
      <c r="B11" s="32" t="n">
        <v>3</v>
      </c>
      <c r="C11" s="33" t="s">
        <v>85</v>
      </c>
      <c r="D11" s="27" t="s">
        <v>86</v>
      </c>
      <c r="E11" s="32" t="s">
        <v>24</v>
      </c>
      <c r="F11" s="27"/>
      <c r="G11" s="27"/>
    </row>
    <row r="12" customFormat="false" ht="33.75" hidden="false" customHeight="true" outlineLevel="0" collapsed="false">
      <c r="B12" s="32" t="n">
        <v>4</v>
      </c>
      <c r="C12" s="33" t="s">
        <v>87</v>
      </c>
      <c r="D12" s="27" t="s">
        <v>88</v>
      </c>
      <c r="E12" s="32" t="s">
        <v>24</v>
      </c>
      <c r="F12" s="27"/>
      <c r="G12" s="27"/>
    </row>
    <row r="13" customFormat="false" ht="33.75" hidden="false" customHeight="true" outlineLevel="0" collapsed="false">
      <c r="B13" s="32" t="n">
        <v>5</v>
      </c>
      <c r="C13" s="33" t="s">
        <v>89</v>
      </c>
      <c r="D13" s="27" t="s">
        <v>90</v>
      </c>
      <c r="E13" s="32" t="s">
        <v>24</v>
      </c>
      <c r="F13" s="27"/>
      <c r="G13" s="27"/>
    </row>
    <row r="14" customFormat="false" ht="21.75" hidden="false" customHeight="true" outlineLevel="0" collapsed="false">
      <c r="B14" s="34" t="s">
        <v>91</v>
      </c>
      <c r="C14" s="34"/>
      <c r="D14" s="34"/>
      <c r="E14" s="34"/>
      <c r="F14" s="34"/>
      <c r="G14" s="34"/>
    </row>
    <row r="15" customFormat="false" ht="33.75" hidden="false" customHeight="true" outlineLevel="0" collapsed="false">
      <c r="B15" s="32" t="n">
        <v>6</v>
      </c>
      <c r="C15" s="33" t="s">
        <v>92</v>
      </c>
      <c r="D15" s="27" t="s">
        <v>93</v>
      </c>
      <c r="E15" s="32" t="s">
        <v>24</v>
      </c>
      <c r="F15" s="27"/>
      <c r="G15" s="27"/>
    </row>
    <row r="16" customFormat="false" ht="33.75" hidden="false" customHeight="true" outlineLevel="0" collapsed="false">
      <c r="B16" s="32" t="n">
        <v>7</v>
      </c>
      <c r="C16" s="33" t="s">
        <v>94</v>
      </c>
      <c r="D16" s="27" t="s">
        <v>95</v>
      </c>
      <c r="E16" s="32" t="s">
        <v>24</v>
      </c>
      <c r="F16" s="27"/>
      <c r="G16" s="27"/>
    </row>
    <row r="17" customFormat="false" ht="33.75" hidden="false" customHeight="true" outlineLevel="0" collapsed="false">
      <c r="B17" s="32" t="n">
        <v>8</v>
      </c>
      <c r="C17" s="33" t="s">
        <v>96</v>
      </c>
      <c r="D17" s="27" t="s">
        <v>97</v>
      </c>
      <c r="E17" s="32" t="s">
        <v>24</v>
      </c>
      <c r="F17" s="27"/>
      <c r="G17" s="27"/>
    </row>
    <row r="18" customFormat="false" ht="33.75" hidden="false" customHeight="true" outlineLevel="0" collapsed="false">
      <c r="B18" s="32" t="n">
        <v>9</v>
      </c>
      <c r="C18" s="33" t="s">
        <v>98</v>
      </c>
      <c r="D18" s="27" t="s">
        <v>99</v>
      </c>
      <c r="E18" s="32" t="s">
        <v>24</v>
      </c>
      <c r="F18" s="27"/>
      <c r="G18" s="27"/>
    </row>
    <row r="19" customFormat="false" ht="33.75" hidden="false" customHeight="true" outlineLevel="0" collapsed="false">
      <c r="B19" s="32" t="n">
        <v>10</v>
      </c>
      <c r="C19" s="33" t="s">
        <v>100</v>
      </c>
      <c r="D19" s="27" t="s">
        <v>101</v>
      </c>
      <c r="E19" s="32" t="s">
        <v>24</v>
      </c>
      <c r="F19" s="27"/>
      <c r="G19" s="27"/>
    </row>
    <row r="20" customFormat="false" ht="33.75" hidden="false" customHeight="true" outlineLevel="0" collapsed="false">
      <c r="B20" s="32" t="n">
        <v>11</v>
      </c>
      <c r="C20" s="33" t="s">
        <v>102</v>
      </c>
      <c r="D20" s="27" t="s">
        <v>103</v>
      </c>
      <c r="E20" s="32" t="s">
        <v>24</v>
      </c>
      <c r="F20" s="27"/>
      <c r="G20" s="27"/>
    </row>
    <row r="21" customFormat="false" ht="21.75" hidden="false" customHeight="true" outlineLevel="0" collapsed="false">
      <c r="B21" s="35" t="s">
        <v>104</v>
      </c>
      <c r="C21" s="35"/>
      <c r="D21" s="35"/>
      <c r="E21" s="35"/>
      <c r="F21" s="35"/>
      <c r="G21" s="35"/>
    </row>
    <row r="22" customFormat="false" ht="33.75" hidden="false" customHeight="true" outlineLevel="0" collapsed="false">
      <c r="B22" s="32" t="n">
        <v>12</v>
      </c>
      <c r="C22" s="33" t="s">
        <v>105</v>
      </c>
      <c r="D22" s="27" t="s">
        <v>106</v>
      </c>
      <c r="E22" s="32" t="s">
        <v>24</v>
      </c>
      <c r="F22" s="27"/>
      <c r="G22" s="27"/>
    </row>
    <row r="23" customFormat="false" ht="33.75" hidden="false" customHeight="true" outlineLevel="0" collapsed="false">
      <c r="B23" s="32" t="n">
        <v>13</v>
      </c>
      <c r="C23" s="33" t="s">
        <v>107</v>
      </c>
      <c r="D23" s="27" t="s">
        <v>108</v>
      </c>
      <c r="E23" s="32" t="s">
        <v>24</v>
      </c>
      <c r="F23" s="27"/>
      <c r="G23" s="27"/>
    </row>
    <row r="24" customFormat="false" ht="33.75" hidden="false" customHeight="true" outlineLevel="0" collapsed="false">
      <c r="B24" s="32" t="n">
        <v>14</v>
      </c>
      <c r="C24" s="33" t="s">
        <v>109</v>
      </c>
      <c r="D24" s="27" t="s">
        <v>110</v>
      </c>
      <c r="E24" s="32" t="s">
        <v>30</v>
      </c>
      <c r="F24" s="27"/>
      <c r="G24" s="27"/>
    </row>
    <row r="25" customFormat="false" ht="33.75" hidden="false" customHeight="true" outlineLevel="0" collapsed="false">
      <c r="B25" s="32" t="n">
        <v>15</v>
      </c>
      <c r="C25" s="33" t="s">
        <v>111</v>
      </c>
      <c r="D25" s="27" t="s">
        <v>112</v>
      </c>
      <c r="E25" s="32" t="s">
        <v>24</v>
      </c>
      <c r="F25" s="27"/>
      <c r="G25" s="27"/>
    </row>
    <row r="26" customFormat="false" ht="33.75" hidden="false" customHeight="true" outlineLevel="0" collapsed="false">
      <c r="B26" s="32" t="n">
        <v>16</v>
      </c>
      <c r="C26" s="33" t="s">
        <v>113</v>
      </c>
      <c r="D26" s="27" t="s">
        <v>114</v>
      </c>
      <c r="E26" s="32" t="s">
        <v>30</v>
      </c>
      <c r="F26" s="27"/>
      <c r="G26" s="27"/>
    </row>
    <row r="27" customFormat="false" ht="21.75" hidden="false" customHeight="true" outlineLevel="0" collapsed="false">
      <c r="B27" s="36" t="s">
        <v>117</v>
      </c>
      <c r="C27" s="36"/>
      <c r="D27" s="36"/>
      <c r="E27" s="36"/>
      <c r="F27" s="36"/>
      <c r="G27" s="36"/>
    </row>
    <row r="28" customFormat="false" ht="33.75" hidden="false" customHeight="true" outlineLevel="0" collapsed="false">
      <c r="B28" s="32" t="n">
        <v>17</v>
      </c>
      <c r="C28" s="33" t="s">
        <v>118</v>
      </c>
      <c r="D28" s="27" t="s">
        <v>119</v>
      </c>
      <c r="E28" s="32" t="s">
        <v>28</v>
      </c>
      <c r="F28" s="27" t="s">
        <v>120</v>
      </c>
      <c r="G28" s="27" t="s">
        <v>121</v>
      </c>
    </row>
    <row r="29" customFormat="false" ht="33.75" hidden="false" customHeight="true" outlineLevel="0" collapsed="false">
      <c r="B29" s="32" t="n">
        <v>18</v>
      </c>
      <c r="C29" s="33" t="s">
        <v>122</v>
      </c>
      <c r="D29" s="27" t="s">
        <v>123</v>
      </c>
      <c r="E29" s="32" t="s">
        <v>24</v>
      </c>
      <c r="F29" s="27"/>
      <c r="G29" s="27"/>
    </row>
    <row r="30" customFormat="false" ht="33.75" hidden="false" customHeight="true" outlineLevel="0" collapsed="false">
      <c r="B30" s="32" t="n">
        <v>19</v>
      </c>
      <c r="C30" s="33" t="s">
        <v>124</v>
      </c>
      <c r="D30" s="27" t="s">
        <v>125</v>
      </c>
      <c r="E30" s="32" t="s">
        <v>30</v>
      </c>
      <c r="F30" s="27"/>
      <c r="G30" s="27"/>
    </row>
    <row r="31" customFormat="false" ht="33.75" hidden="false" customHeight="true" outlineLevel="0" collapsed="false">
      <c r="B31" s="32" t="n">
        <v>20</v>
      </c>
      <c r="C31" s="33" t="s">
        <v>126</v>
      </c>
      <c r="D31" s="27" t="s">
        <v>127</v>
      </c>
      <c r="E31" s="32" t="s">
        <v>24</v>
      </c>
      <c r="F31" s="27"/>
      <c r="G31" s="27"/>
    </row>
    <row r="32" customFormat="false" ht="33.75" hidden="false" customHeight="true" outlineLevel="0" collapsed="false">
      <c r="B32" s="32" t="n">
        <v>21</v>
      </c>
      <c r="C32" s="33" t="s">
        <v>128</v>
      </c>
      <c r="D32" s="27" t="s">
        <v>129</v>
      </c>
      <c r="E32" s="32" t="s">
        <v>28</v>
      </c>
      <c r="F32" s="27" t="s">
        <v>130</v>
      </c>
      <c r="G32" s="27" t="s">
        <v>131</v>
      </c>
    </row>
    <row r="33" customFormat="false" ht="33.75" hidden="false" customHeight="true" outlineLevel="0" collapsed="false">
      <c r="B33" s="32" t="n">
        <v>22</v>
      </c>
      <c r="C33" s="33" t="s">
        <v>132</v>
      </c>
      <c r="D33" s="27" t="s">
        <v>133</v>
      </c>
      <c r="E33" s="32" t="s">
        <v>24</v>
      </c>
      <c r="F33" s="27"/>
      <c r="G33" s="27"/>
    </row>
    <row r="35" customFormat="false" ht="15" hidden="false" customHeight="true" outlineLevel="0" collapsed="false">
      <c r="B35" s="28" t="s">
        <v>134</v>
      </c>
      <c r="C35" s="28"/>
      <c r="D35" s="37" t="n">
        <f aca="false">COUNTIF(E8:E33,"✗ No cumple")</f>
        <v>0</v>
      </c>
    </row>
    <row r="36" customFormat="false" ht="15" hidden="false" customHeight="true" outlineLevel="0" collapsed="false">
      <c r="B36" s="28" t="s">
        <v>135</v>
      </c>
      <c r="C36" s="28"/>
      <c r="D36" s="38" t="n">
        <f aca="false">COUNTIF(E8:E33,"⚠ Revisar")</f>
        <v>3</v>
      </c>
    </row>
    <row r="37" customFormat="false" ht="24" hidden="false" customHeight="true" outlineLevel="0" collapsed="false">
      <c r="B37" s="39" t="s">
        <v>136</v>
      </c>
      <c r="C37" s="39"/>
      <c r="D37" s="40" t="str">
        <f aca="false">IF(D35&gt;0,"RECHAZADA - corregir ambigüedades críticas",IF(D36&gt;0,"APROBADA CON OBSERVACIONES - aclarar pendientes","APROBADA - lista para BDD"))</f>
        <v>APROBADA CON OBSERVACIONES - aclarar pendientes</v>
      </c>
      <c r="E37" s="40"/>
      <c r="F37" s="40"/>
      <c r="G37" s="40"/>
    </row>
  </sheetData>
  <mergeCells count="13">
    <mergeCell ref="B2:G2"/>
    <mergeCell ref="B3:C3"/>
    <mergeCell ref="E3:F3"/>
    <mergeCell ref="B4:G4"/>
    <mergeCell ref="B5:G5"/>
    <mergeCell ref="B8:G8"/>
    <mergeCell ref="B14:G14"/>
    <mergeCell ref="B21:G21"/>
    <mergeCell ref="B27:G27"/>
    <mergeCell ref="B35:C35"/>
    <mergeCell ref="B36:C36"/>
    <mergeCell ref="B37:C37"/>
    <mergeCell ref="D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34"/>
  </cols>
  <sheetData>
    <row r="2" customFormat="false" ht="33.75" hidden="false" customHeight="true" outlineLevel="0" collapsed="false">
      <c r="B2" s="14" t="s">
        <v>66</v>
      </c>
      <c r="C2" s="14"/>
      <c r="D2" s="14"/>
      <c r="E2" s="14"/>
      <c r="F2" s="14"/>
      <c r="G2" s="14"/>
    </row>
    <row r="3" customFormat="false" ht="15" hidden="false" customHeight="true" outlineLevel="0" collapsed="false">
      <c r="B3" s="28" t="s">
        <v>67</v>
      </c>
      <c r="C3" s="28"/>
      <c r="D3" s="29" t="s">
        <v>183</v>
      </c>
      <c r="E3" s="28" t="s">
        <v>69</v>
      </c>
      <c r="F3" s="28"/>
      <c r="G3" s="29" t="s">
        <v>5</v>
      </c>
    </row>
    <row r="4" customFormat="false" ht="15" hidden="false" customHeight="true" outlineLevel="0" collapsed="false">
      <c r="B4" s="28" t="s">
        <v>70</v>
      </c>
      <c r="C4" s="28"/>
      <c r="D4" s="28"/>
      <c r="E4" s="28"/>
      <c r="F4" s="28"/>
      <c r="G4" s="28"/>
    </row>
    <row r="5" customFormat="false" ht="30" hidden="false" customHeight="true" outlineLevel="0" collapsed="false">
      <c r="B5" s="30" t="s">
        <v>184</v>
      </c>
      <c r="C5" s="30"/>
      <c r="D5" s="30"/>
      <c r="E5" s="30"/>
      <c r="F5" s="30"/>
      <c r="G5" s="30"/>
    </row>
    <row r="7" customFormat="false" ht="24" hidden="false" customHeight="true" outlineLevel="0" collapsed="false">
      <c r="B7" s="22" t="s">
        <v>72</v>
      </c>
      <c r="C7" s="22" t="s">
        <v>73</v>
      </c>
      <c r="D7" s="22" t="s">
        <v>74</v>
      </c>
      <c r="E7" s="22" t="s">
        <v>75</v>
      </c>
      <c r="F7" s="22" t="s">
        <v>76</v>
      </c>
      <c r="G7" s="22" t="s">
        <v>77</v>
      </c>
    </row>
    <row r="8" customFormat="false" ht="21.75" hidden="false" customHeight="true" outlineLevel="0" collapsed="false">
      <c r="B8" s="31" t="s">
        <v>78</v>
      </c>
      <c r="C8" s="31"/>
      <c r="D8" s="31"/>
      <c r="E8" s="31"/>
      <c r="F8" s="31"/>
      <c r="G8" s="31"/>
    </row>
    <row r="9" customFormat="false" ht="33.75" hidden="false" customHeight="true" outlineLevel="0" collapsed="false">
      <c r="B9" s="32" t="n">
        <v>1</v>
      </c>
      <c r="C9" s="33" t="s">
        <v>79</v>
      </c>
      <c r="D9" s="27" t="s">
        <v>80</v>
      </c>
      <c r="E9" s="32" t="s">
        <v>24</v>
      </c>
      <c r="F9" s="27"/>
      <c r="G9" s="27"/>
    </row>
    <row r="10" customFormat="false" ht="33.75" hidden="false" customHeight="true" outlineLevel="0" collapsed="false">
      <c r="B10" s="32" t="n">
        <v>2</v>
      </c>
      <c r="C10" s="33" t="s">
        <v>81</v>
      </c>
      <c r="D10" s="27" t="s">
        <v>82</v>
      </c>
      <c r="E10" s="32" t="s">
        <v>28</v>
      </c>
      <c r="F10" s="27" t="s">
        <v>83</v>
      </c>
      <c r="G10" s="27" t="s">
        <v>84</v>
      </c>
    </row>
    <row r="11" customFormat="false" ht="33.75" hidden="false" customHeight="true" outlineLevel="0" collapsed="false">
      <c r="B11" s="32" t="n">
        <v>3</v>
      </c>
      <c r="C11" s="33" t="s">
        <v>85</v>
      </c>
      <c r="D11" s="27" t="s">
        <v>86</v>
      </c>
      <c r="E11" s="32" t="s">
        <v>24</v>
      </c>
      <c r="F11" s="27"/>
      <c r="G11" s="27"/>
    </row>
    <row r="12" customFormat="false" ht="33.75" hidden="false" customHeight="true" outlineLevel="0" collapsed="false">
      <c r="B12" s="32" t="n">
        <v>4</v>
      </c>
      <c r="C12" s="33" t="s">
        <v>87</v>
      </c>
      <c r="D12" s="27" t="s">
        <v>88</v>
      </c>
      <c r="E12" s="32" t="s">
        <v>24</v>
      </c>
      <c r="F12" s="27"/>
      <c r="G12" s="27"/>
    </row>
    <row r="13" customFormat="false" ht="33.75" hidden="false" customHeight="true" outlineLevel="0" collapsed="false">
      <c r="B13" s="32" t="n">
        <v>5</v>
      </c>
      <c r="C13" s="33" t="s">
        <v>89</v>
      </c>
      <c r="D13" s="27" t="s">
        <v>90</v>
      </c>
      <c r="E13" s="32" t="s">
        <v>24</v>
      </c>
      <c r="F13" s="27"/>
      <c r="G13" s="27"/>
    </row>
    <row r="14" customFormat="false" ht="21.75" hidden="false" customHeight="true" outlineLevel="0" collapsed="false">
      <c r="B14" s="34" t="s">
        <v>91</v>
      </c>
      <c r="C14" s="34"/>
      <c r="D14" s="34"/>
      <c r="E14" s="34"/>
      <c r="F14" s="34"/>
      <c r="G14" s="34"/>
    </row>
    <row r="15" customFormat="false" ht="33.75" hidden="false" customHeight="true" outlineLevel="0" collapsed="false">
      <c r="B15" s="32" t="n">
        <v>6</v>
      </c>
      <c r="C15" s="33" t="s">
        <v>92</v>
      </c>
      <c r="D15" s="27" t="s">
        <v>93</v>
      </c>
      <c r="E15" s="32" t="s">
        <v>24</v>
      </c>
      <c r="F15" s="27"/>
      <c r="G15" s="27"/>
    </row>
    <row r="16" customFormat="false" ht="33.75" hidden="false" customHeight="true" outlineLevel="0" collapsed="false">
      <c r="B16" s="32" t="n">
        <v>7</v>
      </c>
      <c r="C16" s="33" t="s">
        <v>94</v>
      </c>
      <c r="D16" s="27" t="s">
        <v>95</v>
      </c>
      <c r="E16" s="32" t="s">
        <v>24</v>
      </c>
      <c r="F16" s="27"/>
      <c r="G16" s="27"/>
    </row>
    <row r="17" customFormat="false" ht="33.75" hidden="false" customHeight="true" outlineLevel="0" collapsed="false">
      <c r="B17" s="32" t="n">
        <v>8</v>
      </c>
      <c r="C17" s="33" t="s">
        <v>96</v>
      </c>
      <c r="D17" s="27" t="s">
        <v>97</v>
      </c>
      <c r="E17" s="32" t="s">
        <v>24</v>
      </c>
      <c r="F17" s="27"/>
      <c r="G17" s="27"/>
    </row>
    <row r="18" customFormat="false" ht="33.75" hidden="false" customHeight="true" outlineLevel="0" collapsed="false">
      <c r="B18" s="32" t="n">
        <v>9</v>
      </c>
      <c r="C18" s="33" t="s">
        <v>98</v>
      </c>
      <c r="D18" s="27" t="s">
        <v>99</v>
      </c>
      <c r="E18" s="32" t="s">
        <v>28</v>
      </c>
      <c r="F18" s="27" t="s">
        <v>185</v>
      </c>
      <c r="G18" s="27" t="s">
        <v>186</v>
      </c>
    </row>
    <row r="19" customFormat="false" ht="33.75" hidden="false" customHeight="true" outlineLevel="0" collapsed="false">
      <c r="B19" s="32" t="n">
        <v>10</v>
      </c>
      <c r="C19" s="33" t="s">
        <v>100</v>
      </c>
      <c r="D19" s="27" t="s">
        <v>101</v>
      </c>
      <c r="E19" s="32" t="s">
        <v>24</v>
      </c>
      <c r="F19" s="27"/>
      <c r="G19" s="27"/>
    </row>
    <row r="20" customFormat="false" ht="33.75" hidden="false" customHeight="true" outlineLevel="0" collapsed="false">
      <c r="B20" s="32" t="n">
        <v>11</v>
      </c>
      <c r="C20" s="33" t="s">
        <v>102</v>
      </c>
      <c r="D20" s="27" t="s">
        <v>103</v>
      </c>
      <c r="E20" s="32" t="s">
        <v>24</v>
      </c>
      <c r="F20" s="27"/>
      <c r="G20" s="27"/>
    </row>
    <row r="21" customFormat="false" ht="21.75" hidden="false" customHeight="true" outlineLevel="0" collapsed="false">
      <c r="B21" s="35" t="s">
        <v>104</v>
      </c>
      <c r="C21" s="35"/>
      <c r="D21" s="35"/>
      <c r="E21" s="35"/>
      <c r="F21" s="35"/>
      <c r="G21" s="35"/>
    </row>
    <row r="22" customFormat="false" ht="33.75" hidden="false" customHeight="true" outlineLevel="0" collapsed="false">
      <c r="B22" s="32" t="n">
        <v>12</v>
      </c>
      <c r="C22" s="33" t="s">
        <v>105</v>
      </c>
      <c r="D22" s="27" t="s">
        <v>106</v>
      </c>
      <c r="E22" s="32" t="s">
        <v>24</v>
      </c>
      <c r="F22" s="27"/>
      <c r="G22" s="27"/>
    </row>
    <row r="23" customFormat="false" ht="33.75" hidden="false" customHeight="true" outlineLevel="0" collapsed="false">
      <c r="B23" s="32" t="n">
        <v>13</v>
      </c>
      <c r="C23" s="33" t="s">
        <v>107</v>
      </c>
      <c r="D23" s="27" t="s">
        <v>108</v>
      </c>
      <c r="E23" s="32" t="s">
        <v>24</v>
      </c>
      <c r="F23" s="27"/>
      <c r="G23" s="27"/>
    </row>
    <row r="24" customFormat="false" ht="33.75" hidden="false" customHeight="true" outlineLevel="0" collapsed="false">
      <c r="B24" s="32" t="n">
        <v>14</v>
      </c>
      <c r="C24" s="33" t="s">
        <v>109</v>
      </c>
      <c r="D24" s="27" t="s">
        <v>110</v>
      </c>
      <c r="E24" s="32" t="s">
        <v>30</v>
      </c>
      <c r="F24" s="27"/>
      <c r="G24" s="27"/>
    </row>
    <row r="25" customFormat="false" ht="33.75" hidden="false" customHeight="true" outlineLevel="0" collapsed="false">
      <c r="B25" s="32" t="n">
        <v>15</v>
      </c>
      <c r="C25" s="33" t="s">
        <v>111</v>
      </c>
      <c r="D25" s="27" t="s">
        <v>112</v>
      </c>
      <c r="E25" s="32" t="s">
        <v>30</v>
      </c>
      <c r="F25" s="27"/>
      <c r="G25" s="27"/>
    </row>
    <row r="26" customFormat="false" ht="33.75" hidden="false" customHeight="true" outlineLevel="0" collapsed="false">
      <c r="B26" s="32" t="n">
        <v>16</v>
      </c>
      <c r="C26" s="33" t="s">
        <v>113</v>
      </c>
      <c r="D26" s="27" t="s">
        <v>114</v>
      </c>
      <c r="E26" s="32" t="s">
        <v>30</v>
      </c>
      <c r="F26" s="27"/>
      <c r="G26" s="27"/>
    </row>
    <row r="27" customFormat="false" ht="21.75" hidden="false" customHeight="true" outlineLevel="0" collapsed="false">
      <c r="B27" s="36" t="s">
        <v>117</v>
      </c>
      <c r="C27" s="36"/>
      <c r="D27" s="36"/>
      <c r="E27" s="36"/>
      <c r="F27" s="36"/>
      <c r="G27" s="36"/>
    </row>
    <row r="28" customFormat="false" ht="33.75" hidden="false" customHeight="true" outlineLevel="0" collapsed="false">
      <c r="B28" s="32" t="n">
        <v>17</v>
      </c>
      <c r="C28" s="33" t="s">
        <v>118</v>
      </c>
      <c r="D28" s="27" t="s">
        <v>119</v>
      </c>
      <c r="E28" s="32" t="s">
        <v>28</v>
      </c>
      <c r="F28" s="27" t="s">
        <v>120</v>
      </c>
      <c r="G28" s="27" t="s">
        <v>121</v>
      </c>
    </row>
    <row r="29" customFormat="false" ht="33.75" hidden="false" customHeight="true" outlineLevel="0" collapsed="false">
      <c r="B29" s="32" t="n">
        <v>18</v>
      </c>
      <c r="C29" s="33" t="s">
        <v>122</v>
      </c>
      <c r="D29" s="27" t="s">
        <v>123</v>
      </c>
      <c r="E29" s="32" t="s">
        <v>24</v>
      </c>
      <c r="F29" s="27"/>
      <c r="G29" s="27"/>
    </row>
    <row r="30" customFormat="false" ht="33.75" hidden="false" customHeight="true" outlineLevel="0" collapsed="false">
      <c r="B30" s="32" t="n">
        <v>19</v>
      </c>
      <c r="C30" s="33" t="s">
        <v>124</v>
      </c>
      <c r="D30" s="27" t="s">
        <v>125</v>
      </c>
      <c r="E30" s="32" t="s">
        <v>28</v>
      </c>
      <c r="F30" s="27" t="s">
        <v>187</v>
      </c>
      <c r="G30" s="27" t="s">
        <v>188</v>
      </c>
    </row>
    <row r="31" customFormat="false" ht="33.75" hidden="false" customHeight="true" outlineLevel="0" collapsed="false">
      <c r="B31" s="32" t="n">
        <v>20</v>
      </c>
      <c r="C31" s="33" t="s">
        <v>126</v>
      </c>
      <c r="D31" s="27" t="s">
        <v>127</v>
      </c>
      <c r="E31" s="32" t="s">
        <v>24</v>
      </c>
      <c r="F31" s="27"/>
      <c r="G31" s="27"/>
    </row>
    <row r="32" customFormat="false" ht="33.75" hidden="false" customHeight="true" outlineLevel="0" collapsed="false">
      <c r="B32" s="32" t="n">
        <v>21</v>
      </c>
      <c r="C32" s="33" t="s">
        <v>128</v>
      </c>
      <c r="D32" s="27" t="s">
        <v>129</v>
      </c>
      <c r="E32" s="32" t="s">
        <v>28</v>
      </c>
      <c r="F32" s="27" t="s">
        <v>130</v>
      </c>
      <c r="G32" s="27" t="s">
        <v>131</v>
      </c>
    </row>
    <row r="33" customFormat="false" ht="33.75" hidden="false" customHeight="true" outlineLevel="0" collapsed="false">
      <c r="B33" s="32" t="n">
        <v>22</v>
      </c>
      <c r="C33" s="33" t="s">
        <v>132</v>
      </c>
      <c r="D33" s="27" t="s">
        <v>133</v>
      </c>
      <c r="E33" s="32" t="s">
        <v>24</v>
      </c>
      <c r="F33" s="27"/>
      <c r="G33" s="27"/>
    </row>
    <row r="35" customFormat="false" ht="15" hidden="false" customHeight="true" outlineLevel="0" collapsed="false">
      <c r="B35" s="28" t="s">
        <v>134</v>
      </c>
      <c r="C35" s="28"/>
      <c r="D35" s="37" t="n">
        <f aca="false">COUNTIF(E8:E33,"✗ No cumple")</f>
        <v>0</v>
      </c>
    </row>
    <row r="36" customFormat="false" ht="15" hidden="false" customHeight="true" outlineLevel="0" collapsed="false">
      <c r="B36" s="28" t="s">
        <v>135</v>
      </c>
      <c r="C36" s="28"/>
      <c r="D36" s="38" t="n">
        <f aca="false">COUNTIF(E8:E33,"⚠ Revisar")</f>
        <v>5</v>
      </c>
    </row>
    <row r="37" customFormat="false" ht="24" hidden="false" customHeight="true" outlineLevel="0" collapsed="false">
      <c r="B37" s="39" t="s">
        <v>136</v>
      </c>
      <c r="C37" s="39"/>
      <c r="D37" s="40" t="str">
        <f aca="false">IF(D35&gt;0,"RECHAZADA - corregir ambigüedades críticas",IF(D36&gt;0,"APROBADA CON OBSERVACIONES - aclarar pendientes","APROBADA - lista para BDD"))</f>
        <v>APROBADA CON OBSERVACIONES - aclarar pendientes</v>
      </c>
      <c r="E37" s="40"/>
      <c r="F37" s="40"/>
      <c r="G37" s="40"/>
    </row>
  </sheetData>
  <mergeCells count="13">
    <mergeCell ref="B2:G2"/>
    <mergeCell ref="B3:C3"/>
    <mergeCell ref="E3:F3"/>
    <mergeCell ref="B4:G4"/>
    <mergeCell ref="B5:G5"/>
    <mergeCell ref="B8:G8"/>
    <mergeCell ref="B14:G14"/>
    <mergeCell ref="B21:G21"/>
    <mergeCell ref="B27:G27"/>
    <mergeCell ref="B35:C35"/>
    <mergeCell ref="B36:C36"/>
    <mergeCell ref="B37:C37"/>
    <mergeCell ref="D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34"/>
  </cols>
  <sheetData>
    <row r="2" customFormat="false" ht="33.75" hidden="false" customHeight="true" outlineLevel="0" collapsed="false">
      <c r="B2" s="14" t="s">
        <v>66</v>
      </c>
      <c r="C2" s="14"/>
      <c r="D2" s="14"/>
      <c r="E2" s="14"/>
      <c r="F2" s="14"/>
      <c r="G2" s="14"/>
    </row>
    <row r="3" customFormat="false" ht="15" hidden="false" customHeight="true" outlineLevel="0" collapsed="false">
      <c r="B3" s="28" t="s">
        <v>67</v>
      </c>
      <c r="C3" s="28"/>
      <c r="D3" s="29" t="s">
        <v>189</v>
      </c>
      <c r="E3" s="28" t="s">
        <v>69</v>
      </c>
      <c r="F3" s="28"/>
      <c r="G3" s="29" t="s">
        <v>5</v>
      </c>
    </row>
    <row r="4" customFormat="false" ht="15" hidden="false" customHeight="true" outlineLevel="0" collapsed="false">
      <c r="B4" s="28" t="s">
        <v>70</v>
      </c>
      <c r="C4" s="28"/>
      <c r="D4" s="28"/>
      <c r="E4" s="28"/>
      <c r="F4" s="28"/>
      <c r="G4" s="28"/>
    </row>
    <row r="5" customFormat="false" ht="30" hidden="false" customHeight="true" outlineLevel="0" collapsed="false">
      <c r="B5" s="30" t="s">
        <v>190</v>
      </c>
      <c r="C5" s="30"/>
      <c r="D5" s="30"/>
      <c r="E5" s="30"/>
      <c r="F5" s="30"/>
      <c r="G5" s="30"/>
    </row>
    <row r="7" customFormat="false" ht="24" hidden="false" customHeight="true" outlineLevel="0" collapsed="false">
      <c r="B7" s="22" t="s">
        <v>72</v>
      </c>
      <c r="C7" s="22" t="s">
        <v>73</v>
      </c>
      <c r="D7" s="22" t="s">
        <v>74</v>
      </c>
      <c r="E7" s="22" t="s">
        <v>75</v>
      </c>
      <c r="F7" s="22" t="s">
        <v>76</v>
      </c>
      <c r="G7" s="22" t="s">
        <v>77</v>
      </c>
    </row>
    <row r="8" customFormat="false" ht="21.75" hidden="false" customHeight="true" outlineLevel="0" collapsed="false">
      <c r="B8" s="31" t="s">
        <v>78</v>
      </c>
      <c r="C8" s="31"/>
      <c r="D8" s="31"/>
      <c r="E8" s="31"/>
      <c r="F8" s="31"/>
      <c r="G8" s="31"/>
    </row>
    <row r="9" customFormat="false" ht="33.75" hidden="false" customHeight="true" outlineLevel="0" collapsed="false">
      <c r="B9" s="32" t="n">
        <v>1</v>
      </c>
      <c r="C9" s="33" t="s">
        <v>79</v>
      </c>
      <c r="D9" s="27" t="s">
        <v>80</v>
      </c>
      <c r="E9" s="32" t="s">
        <v>28</v>
      </c>
      <c r="F9" s="27" t="s">
        <v>191</v>
      </c>
      <c r="G9" s="27" t="s">
        <v>192</v>
      </c>
    </row>
    <row r="10" customFormat="false" ht="33.75" hidden="false" customHeight="true" outlineLevel="0" collapsed="false">
      <c r="B10" s="32" t="n">
        <v>2</v>
      </c>
      <c r="C10" s="33" t="s">
        <v>81</v>
      </c>
      <c r="D10" s="27" t="s">
        <v>82</v>
      </c>
      <c r="E10" s="32" t="s">
        <v>28</v>
      </c>
      <c r="F10" s="27" t="s">
        <v>83</v>
      </c>
      <c r="G10" s="27" t="s">
        <v>84</v>
      </c>
    </row>
    <row r="11" customFormat="false" ht="33.75" hidden="false" customHeight="true" outlineLevel="0" collapsed="false">
      <c r="B11" s="32" t="n">
        <v>3</v>
      </c>
      <c r="C11" s="33" t="s">
        <v>85</v>
      </c>
      <c r="D11" s="27" t="s">
        <v>86</v>
      </c>
      <c r="E11" s="32" t="s">
        <v>24</v>
      </c>
      <c r="F11" s="27"/>
      <c r="G11" s="27"/>
    </row>
    <row r="12" customFormat="false" ht="33.75" hidden="false" customHeight="true" outlineLevel="0" collapsed="false">
      <c r="B12" s="32" t="n">
        <v>4</v>
      </c>
      <c r="C12" s="33" t="s">
        <v>87</v>
      </c>
      <c r="D12" s="27" t="s">
        <v>88</v>
      </c>
      <c r="E12" s="32" t="s">
        <v>24</v>
      </c>
      <c r="F12" s="27"/>
      <c r="G12" s="27"/>
    </row>
    <row r="13" customFormat="false" ht="33.75" hidden="false" customHeight="true" outlineLevel="0" collapsed="false">
      <c r="B13" s="32" t="n">
        <v>5</v>
      </c>
      <c r="C13" s="33" t="s">
        <v>89</v>
      </c>
      <c r="D13" s="27" t="s">
        <v>90</v>
      </c>
      <c r="E13" s="32" t="s">
        <v>24</v>
      </c>
      <c r="F13" s="27"/>
      <c r="G13" s="27"/>
    </row>
    <row r="14" customFormat="false" ht="21.75" hidden="false" customHeight="true" outlineLevel="0" collapsed="false">
      <c r="B14" s="34" t="s">
        <v>91</v>
      </c>
      <c r="C14" s="34"/>
      <c r="D14" s="34"/>
      <c r="E14" s="34"/>
      <c r="F14" s="34"/>
      <c r="G14" s="34"/>
    </row>
    <row r="15" customFormat="false" ht="33.75" hidden="false" customHeight="true" outlineLevel="0" collapsed="false">
      <c r="B15" s="32" t="n">
        <v>6</v>
      </c>
      <c r="C15" s="33" t="s">
        <v>92</v>
      </c>
      <c r="D15" s="27" t="s">
        <v>93</v>
      </c>
      <c r="E15" s="32" t="s">
        <v>24</v>
      </c>
      <c r="F15" s="27"/>
      <c r="G15" s="27"/>
    </row>
    <row r="16" customFormat="false" ht="33.75" hidden="false" customHeight="true" outlineLevel="0" collapsed="false">
      <c r="B16" s="32" t="n">
        <v>7</v>
      </c>
      <c r="C16" s="33" t="s">
        <v>94</v>
      </c>
      <c r="D16" s="27" t="s">
        <v>95</v>
      </c>
      <c r="E16" s="32" t="s">
        <v>24</v>
      </c>
      <c r="F16" s="27"/>
      <c r="G16" s="27"/>
    </row>
    <row r="17" customFormat="false" ht="33.75" hidden="false" customHeight="true" outlineLevel="0" collapsed="false">
      <c r="B17" s="32" t="n">
        <v>8</v>
      </c>
      <c r="C17" s="33" t="s">
        <v>96</v>
      </c>
      <c r="D17" s="27" t="s">
        <v>97</v>
      </c>
      <c r="E17" s="32" t="s">
        <v>24</v>
      </c>
      <c r="F17" s="27"/>
      <c r="G17" s="27"/>
    </row>
    <row r="18" customFormat="false" ht="33.75" hidden="false" customHeight="true" outlineLevel="0" collapsed="false">
      <c r="B18" s="32" t="n">
        <v>9</v>
      </c>
      <c r="C18" s="33" t="s">
        <v>98</v>
      </c>
      <c r="D18" s="27" t="s">
        <v>99</v>
      </c>
      <c r="E18" s="32" t="s">
        <v>24</v>
      </c>
      <c r="F18" s="27"/>
      <c r="G18" s="27"/>
    </row>
    <row r="19" customFormat="false" ht="33.75" hidden="false" customHeight="true" outlineLevel="0" collapsed="false">
      <c r="B19" s="32" t="n">
        <v>10</v>
      </c>
      <c r="C19" s="33" t="s">
        <v>100</v>
      </c>
      <c r="D19" s="27" t="s">
        <v>101</v>
      </c>
      <c r="E19" s="32" t="s">
        <v>24</v>
      </c>
      <c r="F19" s="27"/>
      <c r="G19" s="27"/>
    </row>
    <row r="20" customFormat="false" ht="33.75" hidden="false" customHeight="true" outlineLevel="0" collapsed="false">
      <c r="B20" s="32" t="n">
        <v>11</v>
      </c>
      <c r="C20" s="33" t="s">
        <v>102</v>
      </c>
      <c r="D20" s="27" t="s">
        <v>103</v>
      </c>
      <c r="E20" s="32" t="s">
        <v>24</v>
      </c>
      <c r="F20" s="27"/>
      <c r="G20" s="27"/>
    </row>
    <row r="21" customFormat="false" ht="21.75" hidden="false" customHeight="true" outlineLevel="0" collapsed="false">
      <c r="B21" s="35" t="s">
        <v>104</v>
      </c>
      <c r="C21" s="35"/>
      <c r="D21" s="35"/>
      <c r="E21" s="35"/>
      <c r="F21" s="35"/>
      <c r="G21" s="35"/>
    </row>
    <row r="22" customFormat="false" ht="33.75" hidden="false" customHeight="true" outlineLevel="0" collapsed="false">
      <c r="B22" s="32" t="n">
        <v>12</v>
      </c>
      <c r="C22" s="33" t="s">
        <v>105</v>
      </c>
      <c r="D22" s="27" t="s">
        <v>106</v>
      </c>
      <c r="E22" s="32" t="s">
        <v>24</v>
      </c>
      <c r="F22" s="27"/>
      <c r="G22" s="27"/>
    </row>
    <row r="23" customFormat="false" ht="33.75" hidden="false" customHeight="true" outlineLevel="0" collapsed="false">
      <c r="B23" s="32" t="n">
        <v>13</v>
      </c>
      <c r="C23" s="33" t="s">
        <v>107</v>
      </c>
      <c r="D23" s="27" t="s">
        <v>108</v>
      </c>
      <c r="E23" s="32" t="s">
        <v>24</v>
      </c>
      <c r="F23" s="27"/>
      <c r="G23" s="27"/>
    </row>
    <row r="24" customFormat="false" ht="33.75" hidden="false" customHeight="true" outlineLevel="0" collapsed="false">
      <c r="B24" s="32" t="n">
        <v>14</v>
      </c>
      <c r="C24" s="33" t="s">
        <v>109</v>
      </c>
      <c r="D24" s="27" t="s">
        <v>110</v>
      </c>
      <c r="E24" s="32" t="s">
        <v>30</v>
      </c>
      <c r="F24" s="27"/>
      <c r="G24" s="27"/>
    </row>
    <row r="25" customFormat="false" ht="33.75" hidden="false" customHeight="true" outlineLevel="0" collapsed="false">
      <c r="B25" s="32" t="n">
        <v>15</v>
      </c>
      <c r="C25" s="33" t="s">
        <v>111</v>
      </c>
      <c r="D25" s="27" t="s">
        <v>112</v>
      </c>
      <c r="E25" s="32" t="s">
        <v>24</v>
      </c>
      <c r="F25" s="27"/>
      <c r="G25" s="27"/>
    </row>
    <row r="26" customFormat="false" ht="33.75" hidden="false" customHeight="true" outlineLevel="0" collapsed="false">
      <c r="B26" s="32" t="n">
        <v>16</v>
      </c>
      <c r="C26" s="33" t="s">
        <v>113</v>
      </c>
      <c r="D26" s="27" t="s">
        <v>114</v>
      </c>
      <c r="E26" s="32" t="s">
        <v>30</v>
      </c>
      <c r="F26" s="27"/>
      <c r="G26" s="27"/>
    </row>
    <row r="27" customFormat="false" ht="21.75" hidden="false" customHeight="true" outlineLevel="0" collapsed="false">
      <c r="B27" s="36" t="s">
        <v>117</v>
      </c>
      <c r="C27" s="36"/>
      <c r="D27" s="36"/>
      <c r="E27" s="36"/>
      <c r="F27" s="36"/>
      <c r="G27" s="36"/>
    </row>
    <row r="28" customFormat="false" ht="33.75" hidden="false" customHeight="true" outlineLevel="0" collapsed="false">
      <c r="B28" s="32" t="n">
        <v>17</v>
      </c>
      <c r="C28" s="33" t="s">
        <v>118</v>
      </c>
      <c r="D28" s="27" t="s">
        <v>119</v>
      </c>
      <c r="E28" s="32" t="s">
        <v>28</v>
      </c>
      <c r="F28" s="27" t="s">
        <v>120</v>
      </c>
      <c r="G28" s="27" t="s">
        <v>121</v>
      </c>
    </row>
    <row r="29" customFormat="false" ht="33.75" hidden="false" customHeight="true" outlineLevel="0" collapsed="false">
      <c r="B29" s="32" t="n">
        <v>18</v>
      </c>
      <c r="C29" s="33" t="s">
        <v>122</v>
      </c>
      <c r="D29" s="27" t="s">
        <v>123</v>
      </c>
      <c r="E29" s="32" t="s">
        <v>24</v>
      </c>
      <c r="F29" s="27"/>
      <c r="G29" s="27"/>
    </row>
    <row r="30" customFormat="false" ht="33.75" hidden="false" customHeight="true" outlineLevel="0" collapsed="false">
      <c r="B30" s="32" t="n">
        <v>19</v>
      </c>
      <c r="C30" s="33" t="s">
        <v>124</v>
      </c>
      <c r="D30" s="27" t="s">
        <v>125</v>
      </c>
      <c r="E30" s="32" t="s">
        <v>30</v>
      </c>
      <c r="F30" s="27"/>
      <c r="G30" s="27"/>
    </row>
    <row r="31" customFormat="false" ht="33.75" hidden="false" customHeight="true" outlineLevel="0" collapsed="false">
      <c r="B31" s="32" t="n">
        <v>20</v>
      </c>
      <c r="C31" s="33" t="s">
        <v>126</v>
      </c>
      <c r="D31" s="27" t="s">
        <v>127</v>
      </c>
      <c r="E31" s="32" t="s">
        <v>24</v>
      </c>
      <c r="F31" s="27"/>
      <c r="G31" s="27"/>
    </row>
    <row r="32" customFormat="false" ht="33.75" hidden="false" customHeight="true" outlineLevel="0" collapsed="false">
      <c r="B32" s="32" t="n">
        <v>21</v>
      </c>
      <c r="C32" s="33" t="s">
        <v>128</v>
      </c>
      <c r="D32" s="27" t="s">
        <v>129</v>
      </c>
      <c r="E32" s="32" t="s">
        <v>28</v>
      </c>
      <c r="F32" s="27" t="s">
        <v>130</v>
      </c>
      <c r="G32" s="27" t="s">
        <v>131</v>
      </c>
    </row>
    <row r="33" customFormat="false" ht="33.75" hidden="false" customHeight="true" outlineLevel="0" collapsed="false">
      <c r="B33" s="32" t="n">
        <v>22</v>
      </c>
      <c r="C33" s="33" t="s">
        <v>132</v>
      </c>
      <c r="D33" s="27" t="s">
        <v>133</v>
      </c>
      <c r="E33" s="32" t="s">
        <v>24</v>
      </c>
      <c r="F33" s="27"/>
      <c r="G33" s="27"/>
    </row>
    <row r="35" customFormat="false" ht="15" hidden="false" customHeight="true" outlineLevel="0" collapsed="false">
      <c r="B35" s="28" t="s">
        <v>134</v>
      </c>
      <c r="C35" s="28"/>
      <c r="D35" s="37" t="n">
        <f aca="false">COUNTIF(E8:E33,"✗ No cumple")</f>
        <v>0</v>
      </c>
    </row>
    <row r="36" customFormat="false" ht="15" hidden="false" customHeight="true" outlineLevel="0" collapsed="false">
      <c r="B36" s="28" t="s">
        <v>135</v>
      </c>
      <c r="C36" s="28"/>
      <c r="D36" s="38" t="n">
        <f aca="false">COUNTIF(E8:E33,"⚠ Revisar")</f>
        <v>4</v>
      </c>
    </row>
    <row r="37" customFormat="false" ht="24" hidden="false" customHeight="true" outlineLevel="0" collapsed="false">
      <c r="B37" s="39" t="s">
        <v>136</v>
      </c>
      <c r="C37" s="39"/>
      <c r="D37" s="40" t="str">
        <f aca="false">IF(D35&gt;0,"RECHAZADA - corregir ambigüedades críticas",IF(D36&gt;0,"APROBADA CON OBSERVACIONES - aclarar pendientes","APROBADA - lista para BDD"))</f>
        <v>APROBADA CON OBSERVACIONES - aclarar pendientes</v>
      </c>
      <c r="E37" s="40"/>
      <c r="F37" s="40"/>
      <c r="G37" s="40"/>
    </row>
  </sheetData>
  <mergeCells count="13">
    <mergeCell ref="B2:G2"/>
    <mergeCell ref="B3:C3"/>
    <mergeCell ref="E3:F3"/>
    <mergeCell ref="B4:G4"/>
    <mergeCell ref="B5:G5"/>
    <mergeCell ref="B8:G8"/>
    <mergeCell ref="B14:G14"/>
    <mergeCell ref="B21:G21"/>
    <mergeCell ref="B27:G27"/>
    <mergeCell ref="B35:C35"/>
    <mergeCell ref="B36:C36"/>
    <mergeCell ref="B37:C37"/>
    <mergeCell ref="D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34"/>
  </cols>
  <sheetData>
    <row r="2" customFormat="false" ht="33.75" hidden="false" customHeight="true" outlineLevel="0" collapsed="false">
      <c r="B2" s="14" t="s">
        <v>66</v>
      </c>
      <c r="C2" s="14"/>
      <c r="D2" s="14"/>
      <c r="E2" s="14"/>
      <c r="F2" s="14"/>
      <c r="G2" s="14"/>
    </row>
    <row r="3" customFormat="false" ht="15" hidden="false" customHeight="true" outlineLevel="0" collapsed="false">
      <c r="B3" s="28" t="s">
        <v>67</v>
      </c>
      <c r="C3" s="28"/>
      <c r="D3" s="29" t="s">
        <v>193</v>
      </c>
      <c r="E3" s="28" t="s">
        <v>69</v>
      </c>
      <c r="F3" s="28"/>
      <c r="G3" s="29" t="s">
        <v>5</v>
      </c>
    </row>
    <row r="4" customFormat="false" ht="15" hidden="false" customHeight="true" outlineLevel="0" collapsed="false">
      <c r="B4" s="28" t="s">
        <v>70</v>
      </c>
      <c r="C4" s="28"/>
      <c r="D4" s="28"/>
      <c r="E4" s="28"/>
      <c r="F4" s="28"/>
      <c r="G4" s="28"/>
    </row>
    <row r="5" customFormat="false" ht="30" hidden="false" customHeight="true" outlineLevel="0" collapsed="false">
      <c r="B5" s="30" t="s">
        <v>194</v>
      </c>
      <c r="C5" s="30"/>
      <c r="D5" s="30"/>
      <c r="E5" s="30"/>
      <c r="F5" s="30"/>
      <c r="G5" s="30"/>
    </row>
    <row r="7" customFormat="false" ht="24" hidden="false" customHeight="true" outlineLevel="0" collapsed="false">
      <c r="B7" s="22" t="s">
        <v>72</v>
      </c>
      <c r="C7" s="22" t="s">
        <v>73</v>
      </c>
      <c r="D7" s="22" t="s">
        <v>74</v>
      </c>
      <c r="E7" s="22" t="s">
        <v>75</v>
      </c>
      <c r="F7" s="22" t="s">
        <v>76</v>
      </c>
      <c r="G7" s="22" t="s">
        <v>77</v>
      </c>
    </row>
    <row r="8" customFormat="false" ht="21.75" hidden="false" customHeight="true" outlineLevel="0" collapsed="false">
      <c r="B8" s="31" t="s">
        <v>78</v>
      </c>
      <c r="C8" s="31"/>
      <c r="D8" s="31"/>
      <c r="E8" s="31"/>
      <c r="F8" s="31"/>
      <c r="G8" s="31"/>
    </row>
    <row r="9" customFormat="false" ht="33.75" hidden="false" customHeight="true" outlineLevel="0" collapsed="false">
      <c r="B9" s="32" t="n">
        <v>1</v>
      </c>
      <c r="C9" s="33" t="s">
        <v>79</v>
      </c>
      <c r="D9" s="27" t="s">
        <v>80</v>
      </c>
      <c r="E9" s="32" t="s">
        <v>24</v>
      </c>
      <c r="F9" s="27"/>
      <c r="G9" s="27"/>
    </row>
    <row r="10" customFormat="false" ht="33.75" hidden="false" customHeight="true" outlineLevel="0" collapsed="false">
      <c r="B10" s="32" t="n">
        <v>2</v>
      </c>
      <c r="C10" s="33" t="s">
        <v>81</v>
      </c>
      <c r="D10" s="27" t="s">
        <v>82</v>
      </c>
      <c r="E10" s="32" t="s">
        <v>28</v>
      </c>
      <c r="F10" s="27" t="s">
        <v>83</v>
      </c>
      <c r="G10" s="27" t="s">
        <v>84</v>
      </c>
    </row>
    <row r="11" customFormat="false" ht="33.75" hidden="false" customHeight="true" outlineLevel="0" collapsed="false">
      <c r="B11" s="32" t="n">
        <v>3</v>
      </c>
      <c r="C11" s="33" t="s">
        <v>85</v>
      </c>
      <c r="D11" s="27" t="s">
        <v>86</v>
      </c>
      <c r="E11" s="32" t="s">
        <v>24</v>
      </c>
      <c r="F11" s="27"/>
      <c r="G11" s="27"/>
    </row>
    <row r="12" customFormat="false" ht="33.75" hidden="false" customHeight="true" outlineLevel="0" collapsed="false">
      <c r="B12" s="32" t="n">
        <v>4</v>
      </c>
      <c r="C12" s="33" t="s">
        <v>87</v>
      </c>
      <c r="D12" s="27" t="s">
        <v>88</v>
      </c>
      <c r="E12" s="32" t="s">
        <v>24</v>
      </c>
      <c r="F12" s="27"/>
      <c r="G12" s="27"/>
    </row>
    <row r="13" customFormat="false" ht="33.75" hidden="false" customHeight="true" outlineLevel="0" collapsed="false">
      <c r="B13" s="32" t="n">
        <v>5</v>
      </c>
      <c r="C13" s="33" t="s">
        <v>89</v>
      </c>
      <c r="D13" s="27" t="s">
        <v>90</v>
      </c>
      <c r="E13" s="32" t="s">
        <v>24</v>
      </c>
      <c r="F13" s="27"/>
      <c r="G13" s="27"/>
    </row>
    <row r="14" customFormat="false" ht="21.75" hidden="false" customHeight="true" outlineLevel="0" collapsed="false">
      <c r="B14" s="34" t="s">
        <v>91</v>
      </c>
      <c r="C14" s="34"/>
      <c r="D14" s="34"/>
      <c r="E14" s="34"/>
      <c r="F14" s="34"/>
      <c r="G14" s="34"/>
    </row>
    <row r="15" customFormat="false" ht="33.75" hidden="false" customHeight="true" outlineLevel="0" collapsed="false">
      <c r="B15" s="32" t="n">
        <v>6</v>
      </c>
      <c r="C15" s="33" t="s">
        <v>92</v>
      </c>
      <c r="D15" s="27" t="s">
        <v>93</v>
      </c>
      <c r="E15" s="32" t="s">
        <v>24</v>
      </c>
      <c r="F15" s="27"/>
      <c r="G15" s="27"/>
    </row>
    <row r="16" customFormat="false" ht="33.75" hidden="false" customHeight="true" outlineLevel="0" collapsed="false">
      <c r="B16" s="32" t="n">
        <v>7</v>
      </c>
      <c r="C16" s="33" t="s">
        <v>94</v>
      </c>
      <c r="D16" s="27" t="s">
        <v>95</v>
      </c>
      <c r="E16" s="32" t="s">
        <v>24</v>
      </c>
      <c r="F16" s="27"/>
      <c r="G16" s="27"/>
    </row>
    <row r="17" customFormat="false" ht="33.75" hidden="false" customHeight="true" outlineLevel="0" collapsed="false">
      <c r="B17" s="32" t="n">
        <v>8</v>
      </c>
      <c r="C17" s="33" t="s">
        <v>96</v>
      </c>
      <c r="D17" s="27" t="s">
        <v>97</v>
      </c>
      <c r="E17" s="32" t="s">
        <v>24</v>
      </c>
      <c r="F17" s="27"/>
      <c r="G17" s="27"/>
    </row>
    <row r="18" customFormat="false" ht="33.75" hidden="false" customHeight="true" outlineLevel="0" collapsed="false">
      <c r="B18" s="32" t="n">
        <v>9</v>
      </c>
      <c r="C18" s="33" t="s">
        <v>98</v>
      </c>
      <c r="D18" s="27" t="s">
        <v>99</v>
      </c>
      <c r="E18" s="32" t="s">
        <v>24</v>
      </c>
      <c r="F18" s="27"/>
      <c r="G18" s="27"/>
    </row>
    <row r="19" customFormat="false" ht="33.75" hidden="false" customHeight="true" outlineLevel="0" collapsed="false">
      <c r="B19" s="32" t="n">
        <v>10</v>
      </c>
      <c r="C19" s="33" t="s">
        <v>100</v>
      </c>
      <c r="D19" s="27" t="s">
        <v>101</v>
      </c>
      <c r="E19" s="32" t="s">
        <v>24</v>
      </c>
      <c r="F19" s="27"/>
      <c r="G19" s="27"/>
    </row>
    <row r="20" customFormat="false" ht="33.75" hidden="false" customHeight="true" outlineLevel="0" collapsed="false">
      <c r="B20" s="32" t="n">
        <v>11</v>
      </c>
      <c r="C20" s="33" t="s">
        <v>102</v>
      </c>
      <c r="D20" s="27" t="s">
        <v>103</v>
      </c>
      <c r="E20" s="32" t="s">
        <v>24</v>
      </c>
      <c r="F20" s="27"/>
      <c r="G20" s="27"/>
    </row>
    <row r="21" customFormat="false" ht="21.75" hidden="false" customHeight="true" outlineLevel="0" collapsed="false">
      <c r="B21" s="35" t="s">
        <v>104</v>
      </c>
      <c r="C21" s="35"/>
      <c r="D21" s="35"/>
      <c r="E21" s="35"/>
      <c r="F21" s="35"/>
      <c r="G21" s="35"/>
    </row>
    <row r="22" customFormat="false" ht="33.75" hidden="false" customHeight="true" outlineLevel="0" collapsed="false">
      <c r="B22" s="32" t="n">
        <v>12</v>
      </c>
      <c r="C22" s="33" t="s">
        <v>105</v>
      </c>
      <c r="D22" s="27" t="s">
        <v>106</v>
      </c>
      <c r="E22" s="32" t="s">
        <v>24</v>
      </c>
      <c r="F22" s="27"/>
      <c r="G22" s="27"/>
    </row>
    <row r="23" customFormat="false" ht="33.75" hidden="false" customHeight="true" outlineLevel="0" collapsed="false">
      <c r="B23" s="32" t="n">
        <v>13</v>
      </c>
      <c r="C23" s="33" t="s">
        <v>107</v>
      </c>
      <c r="D23" s="27" t="s">
        <v>108</v>
      </c>
      <c r="E23" s="32" t="s">
        <v>24</v>
      </c>
      <c r="F23" s="27"/>
      <c r="G23" s="27"/>
    </row>
    <row r="24" customFormat="false" ht="33.75" hidden="false" customHeight="true" outlineLevel="0" collapsed="false">
      <c r="B24" s="32" t="n">
        <v>14</v>
      </c>
      <c r="C24" s="33" t="s">
        <v>109</v>
      </c>
      <c r="D24" s="27" t="s">
        <v>110</v>
      </c>
      <c r="E24" s="32" t="s">
        <v>30</v>
      </c>
      <c r="F24" s="27"/>
      <c r="G24" s="27"/>
    </row>
    <row r="25" customFormat="false" ht="33.75" hidden="false" customHeight="true" outlineLevel="0" collapsed="false">
      <c r="B25" s="32" t="n">
        <v>15</v>
      </c>
      <c r="C25" s="33" t="s">
        <v>111</v>
      </c>
      <c r="D25" s="27" t="s">
        <v>112</v>
      </c>
      <c r="E25" s="32" t="s">
        <v>24</v>
      </c>
      <c r="F25" s="27"/>
      <c r="G25" s="27"/>
    </row>
    <row r="26" customFormat="false" ht="33.75" hidden="false" customHeight="true" outlineLevel="0" collapsed="false">
      <c r="B26" s="32" t="n">
        <v>16</v>
      </c>
      <c r="C26" s="33" t="s">
        <v>113</v>
      </c>
      <c r="D26" s="27" t="s">
        <v>114</v>
      </c>
      <c r="E26" s="32" t="s">
        <v>28</v>
      </c>
      <c r="F26" s="27" t="s">
        <v>195</v>
      </c>
      <c r="G26" s="27" t="s">
        <v>196</v>
      </c>
    </row>
    <row r="27" customFormat="false" ht="21.75" hidden="false" customHeight="true" outlineLevel="0" collapsed="false">
      <c r="B27" s="36" t="s">
        <v>117</v>
      </c>
      <c r="C27" s="36"/>
      <c r="D27" s="36"/>
      <c r="E27" s="36"/>
      <c r="F27" s="36"/>
      <c r="G27" s="36"/>
    </row>
    <row r="28" customFormat="false" ht="33.75" hidden="false" customHeight="true" outlineLevel="0" collapsed="false">
      <c r="B28" s="32" t="n">
        <v>17</v>
      </c>
      <c r="C28" s="33" t="s">
        <v>118</v>
      </c>
      <c r="D28" s="27" t="s">
        <v>119</v>
      </c>
      <c r="E28" s="32" t="s">
        <v>28</v>
      </c>
      <c r="F28" s="27" t="s">
        <v>120</v>
      </c>
      <c r="G28" s="27" t="s">
        <v>121</v>
      </c>
    </row>
    <row r="29" customFormat="false" ht="33.75" hidden="false" customHeight="true" outlineLevel="0" collapsed="false">
      <c r="B29" s="32" t="n">
        <v>18</v>
      </c>
      <c r="C29" s="33" t="s">
        <v>122</v>
      </c>
      <c r="D29" s="27" t="s">
        <v>123</v>
      </c>
      <c r="E29" s="32" t="s">
        <v>24</v>
      </c>
      <c r="F29" s="27"/>
      <c r="G29" s="27"/>
    </row>
    <row r="30" customFormat="false" ht="33.75" hidden="false" customHeight="true" outlineLevel="0" collapsed="false">
      <c r="B30" s="32" t="n">
        <v>19</v>
      </c>
      <c r="C30" s="33" t="s">
        <v>124</v>
      </c>
      <c r="D30" s="27" t="s">
        <v>125</v>
      </c>
      <c r="E30" s="32" t="s">
        <v>30</v>
      </c>
      <c r="F30" s="27"/>
      <c r="G30" s="27"/>
    </row>
    <row r="31" customFormat="false" ht="33.75" hidden="false" customHeight="true" outlineLevel="0" collapsed="false">
      <c r="B31" s="32" t="n">
        <v>20</v>
      </c>
      <c r="C31" s="33" t="s">
        <v>126</v>
      </c>
      <c r="D31" s="27" t="s">
        <v>127</v>
      </c>
      <c r="E31" s="32" t="s">
        <v>24</v>
      </c>
      <c r="F31" s="27"/>
      <c r="G31" s="27"/>
    </row>
    <row r="32" customFormat="false" ht="33.75" hidden="false" customHeight="true" outlineLevel="0" collapsed="false">
      <c r="B32" s="32" t="n">
        <v>21</v>
      </c>
      <c r="C32" s="33" t="s">
        <v>128</v>
      </c>
      <c r="D32" s="27" t="s">
        <v>129</v>
      </c>
      <c r="E32" s="32" t="s">
        <v>28</v>
      </c>
      <c r="F32" s="27" t="s">
        <v>130</v>
      </c>
      <c r="G32" s="27" t="s">
        <v>131</v>
      </c>
    </row>
    <row r="33" customFormat="false" ht="33.75" hidden="false" customHeight="true" outlineLevel="0" collapsed="false">
      <c r="B33" s="32" t="n">
        <v>22</v>
      </c>
      <c r="C33" s="33" t="s">
        <v>132</v>
      </c>
      <c r="D33" s="27" t="s">
        <v>133</v>
      </c>
      <c r="E33" s="32" t="s">
        <v>24</v>
      </c>
      <c r="F33" s="27"/>
      <c r="G33" s="27"/>
    </row>
    <row r="35" customFormat="false" ht="15" hidden="false" customHeight="true" outlineLevel="0" collapsed="false">
      <c r="B35" s="28" t="s">
        <v>134</v>
      </c>
      <c r="C35" s="28"/>
      <c r="D35" s="37" t="n">
        <f aca="false">COUNTIF(E8:E33,"✗ No cumple")</f>
        <v>0</v>
      </c>
    </row>
    <row r="36" customFormat="false" ht="15" hidden="false" customHeight="true" outlineLevel="0" collapsed="false">
      <c r="B36" s="28" t="s">
        <v>135</v>
      </c>
      <c r="C36" s="28"/>
      <c r="D36" s="38" t="n">
        <f aca="false">COUNTIF(E8:E33,"⚠ Revisar")</f>
        <v>4</v>
      </c>
    </row>
    <row r="37" customFormat="false" ht="24" hidden="false" customHeight="true" outlineLevel="0" collapsed="false">
      <c r="B37" s="39" t="s">
        <v>136</v>
      </c>
      <c r="C37" s="39"/>
      <c r="D37" s="40" t="str">
        <f aca="false">IF(D35&gt;0,"RECHAZADA - corregir ambigüedades críticas",IF(D36&gt;0,"APROBADA CON OBSERVACIONES - aclarar pendientes","APROBADA - lista para BDD"))</f>
        <v>APROBADA CON OBSERVACIONES - aclarar pendientes</v>
      </c>
      <c r="E37" s="40"/>
      <c r="F37" s="40"/>
      <c r="G37" s="40"/>
    </row>
  </sheetData>
  <mergeCells count="13">
    <mergeCell ref="B2:G2"/>
    <mergeCell ref="B3:C3"/>
    <mergeCell ref="E3:F3"/>
    <mergeCell ref="B4:G4"/>
    <mergeCell ref="B5:G5"/>
    <mergeCell ref="B8:G8"/>
    <mergeCell ref="B14:G14"/>
    <mergeCell ref="B21:G21"/>
    <mergeCell ref="B27:G27"/>
    <mergeCell ref="B35:C35"/>
    <mergeCell ref="B36:C36"/>
    <mergeCell ref="B37:C37"/>
    <mergeCell ref="D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34"/>
  </cols>
  <sheetData>
    <row r="2" customFormat="false" ht="33.75" hidden="false" customHeight="true" outlineLevel="0" collapsed="false">
      <c r="B2" s="14" t="s">
        <v>66</v>
      </c>
      <c r="C2" s="14"/>
      <c r="D2" s="14"/>
      <c r="E2" s="14"/>
      <c r="F2" s="14"/>
      <c r="G2" s="14"/>
    </row>
    <row r="3" customFormat="false" ht="15" hidden="false" customHeight="true" outlineLevel="0" collapsed="false">
      <c r="B3" s="28" t="s">
        <v>67</v>
      </c>
      <c r="C3" s="28"/>
      <c r="D3" s="29" t="s">
        <v>197</v>
      </c>
      <c r="E3" s="28" t="s">
        <v>69</v>
      </c>
      <c r="F3" s="28"/>
      <c r="G3" s="29" t="s">
        <v>5</v>
      </c>
    </row>
    <row r="4" customFormat="false" ht="15" hidden="false" customHeight="true" outlineLevel="0" collapsed="false">
      <c r="B4" s="28" t="s">
        <v>70</v>
      </c>
      <c r="C4" s="28"/>
      <c r="D4" s="28"/>
      <c r="E4" s="28"/>
      <c r="F4" s="28"/>
      <c r="G4" s="28"/>
    </row>
    <row r="5" customFormat="false" ht="30" hidden="false" customHeight="true" outlineLevel="0" collapsed="false">
      <c r="B5" s="30" t="s">
        <v>198</v>
      </c>
      <c r="C5" s="30"/>
      <c r="D5" s="30"/>
      <c r="E5" s="30"/>
      <c r="F5" s="30"/>
      <c r="G5" s="30"/>
    </row>
    <row r="7" customFormat="false" ht="24" hidden="false" customHeight="true" outlineLevel="0" collapsed="false">
      <c r="B7" s="22" t="s">
        <v>72</v>
      </c>
      <c r="C7" s="22" t="s">
        <v>73</v>
      </c>
      <c r="D7" s="22" t="s">
        <v>74</v>
      </c>
      <c r="E7" s="22" t="s">
        <v>75</v>
      </c>
      <c r="F7" s="22" t="s">
        <v>76</v>
      </c>
      <c r="G7" s="22" t="s">
        <v>77</v>
      </c>
    </row>
    <row r="8" customFormat="false" ht="21.75" hidden="false" customHeight="true" outlineLevel="0" collapsed="false">
      <c r="B8" s="31" t="s">
        <v>78</v>
      </c>
      <c r="C8" s="31"/>
      <c r="D8" s="31"/>
      <c r="E8" s="31"/>
      <c r="F8" s="31"/>
      <c r="G8" s="31"/>
    </row>
    <row r="9" customFormat="false" ht="33.75" hidden="false" customHeight="true" outlineLevel="0" collapsed="false">
      <c r="B9" s="32" t="n">
        <v>1</v>
      </c>
      <c r="C9" s="33" t="s">
        <v>79</v>
      </c>
      <c r="D9" s="27" t="s">
        <v>80</v>
      </c>
      <c r="E9" s="32" t="s">
        <v>24</v>
      </c>
      <c r="F9" s="27"/>
      <c r="G9" s="27"/>
    </row>
    <row r="10" customFormat="false" ht="33.75" hidden="false" customHeight="true" outlineLevel="0" collapsed="false">
      <c r="B10" s="32" t="n">
        <v>2</v>
      </c>
      <c r="C10" s="33" t="s">
        <v>81</v>
      </c>
      <c r="D10" s="27" t="s">
        <v>82</v>
      </c>
      <c r="E10" s="32" t="s">
        <v>28</v>
      </c>
      <c r="F10" s="27" t="s">
        <v>83</v>
      </c>
      <c r="G10" s="27" t="s">
        <v>84</v>
      </c>
    </row>
    <row r="11" customFormat="false" ht="33.75" hidden="false" customHeight="true" outlineLevel="0" collapsed="false">
      <c r="B11" s="32" t="n">
        <v>3</v>
      </c>
      <c r="C11" s="33" t="s">
        <v>85</v>
      </c>
      <c r="D11" s="27" t="s">
        <v>86</v>
      </c>
      <c r="E11" s="32" t="s">
        <v>24</v>
      </c>
      <c r="F11" s="27"/>
      <c r="G11" s="27"/>
    </row>
    <row r="12" customFormat="false" ht="33.75" hidden="false" customHeight="true" outlineLevel="0" collapsed="false">
      <c r="B12" s="32" t="n">
        <v>4</v>
      </c>
      <c r="C12" s="33" t="s">
        <v>87</v>
      </c>
      <c r="D12" s="27" t="s">
        <v>88</v>
      </c>
      <c r="E12" s="32" t="s">
        <v>24</v>
      </c>
      <c r="F12" s="27"/>
      <c r="G12" s="27"/>
    </row>
    <row r="13" customFormat="false" ht="33.75" hidden="false" customHeight="true" outlineLevel="0" collapsed="false">
      <c r="B13" s="32" t="n">
        <v>5</v>
      </c>
      <c r="C13" s="33" t="s">
        <v>89</v>
      </c>
      <c r="D13" s="27" t="s">
        <v>90</v>
      </c>
      <c r="E13" s="32" t="s">
        <v>26</v>
      </c>
      <c r="F13" s="27" t="s">
        <v>199</v>
      </c>
      <c r="G13" s="27" t="s">
        <v>200</v>
      </c>
    </row>
    <row r="14" customFormat="false" ht="21.75" hidden="false" customHeight="true" outlineLevel="0" collapsed="false">
      <c r="B14" s="34" t="s">
        <v>91</v>
      </c>
      <c r="C14" s="34"/>
      <c r="D14" s="34"/>
      <c r="E14" s="34"/>
      <c r="F14" s="34"/>
      <c r="G14" s="34"/>
    </row>
    <row r="15" customFormat="false" ht="33.75" hidden="false" customHeight="true" outlineLevel="0" collapsed="false">
      <c r="B15" s="32" t="n">
        <v>6</v>
      </c>
      <c r="C15" s="33" t="s">
        <v>92</v>
      </c>
      <c r="D15" s="27" t="s">
        <v>93</v>
      </c>
      <c r="E15" s="32" t="s">
        <v>24</v>
      </c>
      <c r="F15" s="27"/>
      <c r="G15" s="27"/>
    </row>
    <row r="16" customFormat="false" ht="33.75" hidden="false" customHeight="true" outlineLevel="0" collapsed="false">
      <c r="B16" s="32" t="n">
        <v>7</v>
      </c>
      <c r="C16" s="33" t="s">
        <v>94</v>
      </c>
      <c r="D16" s="27" t="s">
        <v>95</v>
      </c>
      <c r="E16" s="32" t="s">
        <v>24</v>
      </c>
      <c r="F16" s="27"/>
      <c r="G16" s="27"/>
    </row>
    <row r="17" customFormat="false" ht="33.75" hidden="false" customHeight="true" outlineLevel="0" collapsed="false">
      <c r="B17" s="32" t="n">
        <v>8</v>
      </c>
      <c r="C17" s="33" t="s">
        <v>96</v>
      </c>
      <c r="D17" s="27" t="s">
        <v>97</v>
      </c>
      <c r="E17" s="32" t="s">
        <v>24</v>
      </c>
      <c r="F17" s="27"/>
      <c r="G17" s="27"/>
    </row>
    <row r="18" customFormat="false" ht="33.75" hidden="false" customHeight="true" outlineLevel="0" collapsed="false">
      <c r="B18" s="32" t="n">
        <v>9</v>
      </c>
      <c r="C18" s="33" t="s">
        <v>98</v>
      </c>
      <c r="D18" s="27" t="s">
        <v>99</v>
      </c>
      <c r="E18" s="32" t="s">
        <v>24</v>
      </c>
      <c r="F18" s="27"/>
      <c r="G18" s="27"/>
    </row>
    <row r="19" customFormat="false" ht="33.75" hidden="false" customHeight="true" outlineLevel="0" collapsed="false">
      <c r="B19" s="32" t="n">
        <v>10</v>
      </c>
      <c r="C19" s="33" t="s">
        <v>100</v>
      </c>
      <c r="D19" s="27" t="s">
        <v>101</v>
      </c>
      <c r="E19" s="32" t="s">
        <v>24</v>
      </c>
      <c r="F19" s="27"/>
      <c r="G19" s="27"/>
    </row>
    <row r="20" customFormat="false" ht="33.75" hidden="false" customHeight="true" outlineLevel="0" collapsed="false">
      <c r="B20" s="32" t="n">
        <v>11</v>
      </c>
      <c r="C20" s="33" t="s">
        <v>102</v>
      </c>
      <c r="D20" s="27" t="s">
        <v>103</v>
      </c>
      <c r="E20" s="32" t="s">
        <v>24</v>
      </c>
      <c r="F20" s="27"/>
      <c r="G20" s="27"/>
    </row>
    <row r="21" customFormat="false" ht="21.75" hidden="false" customHeight="true" outlineLevel="0" collapsed="false">
      <c r="B21" s="35" t="s">
        <v>104</v>
      </c>
      <c r="C21" s="35"/>
      <c r="D21" s="35"/>
      <c r="E21" s="35"/>
      <c r="F21" s="35"/>
      <c r="G21" s="35"/>
    </row>
    <row r="22" customFormat="false" ht="33.75" hidden="false" customHeight="true" outlineLevel="0" collapsed="false">
      <c r="B22" s="32" t="n">
        <v>12</v>
      </c>
      <c r="C22" s="33" t="s">
        <v>105</v>
      </c>
      <c r="D22" s="27" t="s">
        <v>106</v>
      </c>
      <c r="E22" s="32" t="s">
        <v>24</v>
      </c>
      <c r="F22" s="27"/>
      <c r="G22" s="27"/>
    </row>
    <row r="23" customFormat="false" ht="33.75" hidden="false" customHeight="true" outlineLevel="0" collapsed="false">
      <c r="B23" s="32" t="n">
        <v>13</v>
      </c>
      <c r="C23" s="33" t="s">
        <v>107</v>
      </c>
      <c r="D23" s="27" t="s">
        <v>108</v>
      </c>
      <c r="E23" s="32" t="s">
        <v>24</v>
      </c>
      <c r="F23" s="27"/>
      <c r="G23" s="27"/>
    </row>
    <row r="24" customFormat="false" ht="33.75" hidden="false" customHeight="true" outlineLevel="0" collapsed="false">
      <c r="B24" s="32" t="n">
        <v>14</v>
      </c>
      <c r="C24" s="33" t="s">
        <v>109</v>
      </c>
      <c r="D24" s="27" t="s">
        <v>110</v>
      </c>
      <c r="E24" s="32" t="s">
        <v>30</v>
      </c>
      <c r="F24" s="27"/>
      <c r="G24" s="27"/>
    </row>
    <row r="25" customFormat="false" ht="33.75" hidden="false" customHeight="true" outlineLevel="0" collapsed="false">
      <c r="B25" s="32" t="n">
        <v>15</v>
      </c>
      <c r="C25" s="33" t="s">
        <v>111</v>
      </c>
      <c r="D25" s="27" t="s">
        <v>112</v>
      </c>
      <c r="E25" s="32" t="s">
        <v>30</v>
      </c>
      <c r="F25" s="27"/>
      <c r="G25" s="27"/>
    </row>
    <row r="26" customFormat="false" ht="33.75" hidden="false" customHeight="true" outlineLevel="0" collapsed="false">
      <c r="B26" s="32" t="n">
        <v>16</v>
      </c>
      <c r="C26" s="33" t="s">
        <v>113</v>
      </c>
      <c r="D26" s="27" t="s">
        <v>114</v>
      </c>
      <c r="E26" s="32" t="s">
        <v>30</v>
      </c>
      <c r="F26" s="27"/>
      <c r="G26" s="27"/>
    </row>
    <row r="27" customFormat="false" ht="21.75" hidden="false" customHeight="true" outlineLevel="0" collapsed="false">
      <c r="B27" s="36" t="s">
        <v>117</v>
      </c>
      <c r="C27" s="36"/>
      <c r="D27" s="36"/>
      <c r="E27" s="36"/>
      <c r="F27" s="36"/>
      <c r="G27" s="36"/>
    </row>
    <row r="28" customFormat="false" ht="33.75" hidden="false" customHeight="true" outlineLevel="0" collapsed="false">
      <c r="B28" s="32" t="n">
        <v>17</v>
      </c>
      <c r="C28" s="33" t="s">
        <v>118</v>
      </c>
      <c r="D28" s="27" t="s">
        <v>119</v>
      </c>
      <c r="E28" s="32" t="s">
        <v>28</v>
      </c>
      <c r="F28" s="27" t="s">
        <v>120</v>
      </c>
      <c r="G28" s="27" t="s">
        <v>121</v>
      </c>
    </row>
    <row r="29" customFormat="false" ht="33.75" hidden="false" customHeight="true" outlineLevel="0" collapsed="false">
      <c r="B29" s="32" t="n">
        <v>18</v>
      </c>
      <c r="C29" s="33" t="s">
        <v>122</v>
      </c>
      <c r="D29" s="27" t="s">
        <v>123</v>
      </c>
      <c r="E29" s="32" t="s">
        <v>24</v>
      </c>
      <c r="F29" s="27"/>
      <c r="G29" s="27"/>
    </row>
    <row r="30" customFormat="false" ht="33.75" hidden="false" customHeight="true" outlineLevel="0" collapsed="false">
      <c r="B30" s="32" t="n">
        <v>19</v>
      </c>
      <c r="C30" s="33" t="s">
        <v>124</v>
      </c>
      <c r="D30" s="27" t="s">
        <v>125</v>
      </c>
      <c r="E30" s="32" t="s">
        <v>28</v>
      </c>
      <c r="F30" s="27" t="s">
        <v>201</v>
      </c>
      <c r="G30" s="27" t="s">
        <v>202</v>
      </c>
    </row>
    <row r="31" customFormat="false" ht="33.75" hidden="false" customHeight="true" outlineLevel="0" collapsed="false">
      <c r="B31" s="32" t="n">
        <v>20</v>
      </c>
      <c r="C31" s="33" t="s">
        <v>126</v>
      </c>
      <c r="D31" s="27" t="s">
        <v>127</v>
      </c>
      <c r="E31" s="32" t="s">
        <v>24</v>
      </c>
      <c r="F31" s="27"/>
      <c r="G31" s="27"/>
    </row>
    <row r="32" customFormat="false" ht="33.75" hidden="false" customHeight="true" outlineLevel="0" collapsed="false">
      <c r="B32" s="32" t="n">
        <v>21</v>
      </c>
      <c r="C32" s="33" t="s">
        <v>128</v>
      </c>
      <c r="D32" s="27" t="s">
        <v>129</v>
      </c>
      <c r="E32" s="32" t="s">
        <v>28</v>
      </c>
      <c r="F32" s="27" t="s">
        <v>130</v>
      </c>
      <c r="G32" s="27" t="s">
        <v>131</v>
      </c>
    </row>
    <row r="33" customFormat="false" ht="33.75" hidden="false" customHeight="true" outlineLevel="0" collapsed="false">
      <c r="B33" s="32" t="n">
        <v>22</v>
      </c>
      <c r="C33" s="33" t="s">
        <v>132</v>
      </c>
      <c r="D33" s="27" t="s">
        <v>133</v>
      </c>
      <c r="E33" s="32" t="s">
        <v>24</v>
      </c>
      <c r="F33" s="27"/>
      <c r="G33" s="27"/>
    </row>
    <row r="35" customFormat="false" ht="15" hidden="false" customHeight="true" outlineLevel="0" collapsed="false">
      <c r="B35" s="28" t="s">
        <v>134</v>
      </c>
      <c r="C35" s="28"/>
      <c r="D35" s="37" t="n">
        <f aca="false">COUNTIF(E8:E33,"✗ No cumple")</f>
        <v>1</v>
      </c>
    </row>
    <row r="36" customFormat="false" ht="15" hidden="false" customHeight="true" outlineLevel="0" collapsed="false">
      <c r="B36" s="28" t="s">
        <v>135</v>
      </c>
      <c r="C36" s="28"/>
      <c r="D36" s="38" t="n">
        <f aca="false">COUNTIF(E8:E33,"⚠ Revisar")</f>
        <v>4</v>
      </c>
    </row>
    <row r="37" customFormat="false" ht="24" hidden="false" customHeight="true" outlineLevel="0" collapsed="false">
      <c r="B37" s="39" t="s">
        <v>136</v>
      </c>
      <c r="C37" s="39"/>
      <c r="D37" s="40" t="str">
        <f aca="false">IF(D35&gt;0,"RECHAZADA - corregir ambigüedades críticas",IF(D36&gt;0,"APROBADA CON OBSERVACIONES - aclarar pendientes","APROBADA - lista para BDD"))</f>
        <v>RECHAZADA - corregir ambigüedades críticas</v>
      </c>
      <c r="E37" s="40"/>
      <c r="F37" s="40"/>
      <c r="G37" s="40"/>
    </row>
  </sheetData>
  <mergeCells count="13">
    <mergeCell ref="B2:G2"/>
    <mergeCell ref="B3:C3"/>
    <mergeCell ref="E3:F3"/>
    <mergeCell ref="B4:G4"/>
    <mergeCell ref="B5:G5"/>
    <mergeCell ref="B8:G8"/>
    <mergeCell ref="B14:G14"/>
    <mergeCell ref="B21:G21"/>
    <mergeCell ref="B27:G27"/>
    <mergeCell ref="B35:C35"/>
    <mergeCell ref="B36:C36"/>
    <mergeCell ref="B37:C37"/>
    <mergeCell ref="D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34"/>
  </cols>
  <sheetData>
    <row r="2" customFormat="false" ht="33.75" hidden="false" customHeight="true" outlineLevel="0" collapsed="false">
      <c r="B2" s="14" t="s">
        <v>66</v>
      </c>
      <c r="C2" s="14"/>
      <c r="D2" s="14"/>
      <c r="E2" s="14"/>
      <c r="F2" s="14"/>
      <c r="G2" s="14"/>
    </row>
    <row r="3" customFormat="false" ht="15" hidden="false" customHeight="true" outlineLevel="0" collapsed="false">
      <c r="B3" s="28" t="s">
        <v>67</v>
      </c>
      <c r="C3" s="28"/>
      <c r="D3" s="29" t="s">
        <v>203</v>
      </c>
      <c r="E3" s="28" t="s">
        <v>69</v>
      </c>
      <c r="F3" s="28"/>
      <c r="G3" s="29" t="s">
        <v>5</v>
      </c>
    </row>
    <row r="4" customFormat="false" ht="15" hidden="false" customHeight="true" outlineLevel="0" collapsed="false">
      <c r="B4" s="28" t="s">
        <v>70</v>
      </c>
      <c r="C4" s="28"/>
      <c r="D4" s="28"/>
      <c r="E4" s="28"/>
      <c r="F4" s="28"/>
      <c r="G4" s="28"/>
    </row>
    <row r="5" customFormat="false" ht="30" hidden="false" customHeight="true" outlineLevel="0" collapsed="false">
      <c r="B5" s="30" t="s">
        <v>204</v>
      </c>
      <c r="C5" s="30"/>
      <c r="D5" s="30"/>
      <c r="E5" s="30"/>
      <c r="F5" s="30"/>
      <c r="G5" s="30"/>
    </row>
    <row r="7" customFormat="false" ht="24" hidden="false" customHeight="true" outlineLevel="0" collapsed="false">
      <c r="B7" s="22" t="s">
        <v>72</v>
      </c>
      <c r="C7" s="22" t="s">
        <v>73</v>
      </c>
      <c r="D7" s="22" t="s">
        <v>74</v>
      </c>
      <c r="E7" s="22" t="s">
        <v>75</v>
      </c>
      <c r="F7" s="22" t="s">
        <v>76</v>
      </c>
      <c r="G7" s="22" t="s">
        <v>77</v>
      </c>
    </row>
    <row r="8" customFormat="false" ht="21.75" hidden="false" customHeight="true" outlineLevel="0" collapsed="false">
      <c r="B8" s="31" t="s">
        <v>78</v>
      </c>
      <c r="C8" s="31"/>
      <c r="D8" s="31"/>
      <c r="E8" s="31"/>
      <c r="F8" s="31"/>
      <c r="G8" s="31"/>
    </row>
    <row r="9" customFormat="false" ht="33.75" hidden="false" customHeight="true" outlineLevel="0" collapsed="false">
      <c r="B9" s="32" t="n">
        <v>1</v>
      </c>
      <c r="C9" s="33" t="s">
        <v>79</v>
      </c>
      <c r="D9" s="27" t="s">
        <v>80</v>
      </c>
      <c r="E9" s="32" t="s">
        <v>24</v>
      </c>
      <c r="F9" s="27"/>
      <c r="G9" s="27"/>
    </row>
    <row r="10" customFormat="false" ht="33.75" hidden="false" customHeight="true" outlineLevel="0" collapsed="false">
      <c r="B10" s="32" t="n">
        <v>2</v>
      </c>
      <c r="C10" s="33" t="s">
        <v>81</v>
      </c>
      <c r="D10" s="27" t="s">
        <v>82</v>
      </c>
      <c r="E10" s="32" t="s">
        <v>28</v>
      </c>
      <c r="F10" s="27" t="s">
        <v>83</v>
      </c>
      <c r="G10" s="27" t="s">
        <v>84</v>
      </c>
    </row>
    <row r="11" customFormat="false" ht="33.75" hidden="false" customHeight="true" outlineLevel="0" collapsed="false">
      <c r="B11" s="32" t="n">
        <v>3</v>
      </c>
      <c r="C11" s="33" t="s">
        <v>85</v>
      </c>
      <c r="D11" s="27" t="s">
        <v>86</v>
      </c>
      <c r="E11" s="32" t="s">
        <v>24</v>
      </c>
      <c r="F11" s="27"/>
      <c r="G11" s="27"/>
    </row>
    <row r="12" customFormat="false" ht="33.75" hidden="false" customHeight="true" outlineLevel="0" collapsed="false">
      <c r="B12" s="32" t="n">
        <v>4</v>
      </c>
      <c r="C12" s="33" t="s">
        <v>87</v>
      </c>
      <c r="D12" s="27" t="s">
        <v>88</v>
      </c>
      <c r="E12" s="32" t="s">
        <v>24</v>
      </c>
      <c r="F12" s="27"/>
      <c r="G12" s="27"/>
    </row>
    <row r="13" customFormat="false" ht="33.75" hidden="false" customHeight="true" outlineLevel="0" collapsed="false">
      <c r="B13" s="32" t="n">
        <v>5</v>
      </c>
      <c r="C13" s="33" t="s">
        <v>89</v>
      </c>
      <c r="D13" s="27" t="s">
        <v>90</v>
      </c>
      <c r="E13" s="32" t="s">
        <v>24</v>
      </c>
      <c r="F13" s="27"/>
      <c r="G13" s="27"/>
    </row>
    <row r="14" customFormat="false" ht="21.75" hidden="false" customHeight="true" outlineLevel="0" collapsed="false">
      <c r="B14" s="34" t="s">
        <v>91</v>
      </c>
      <c r="C14" s="34"/>
      <c r="D14" s="34"/>
      <c r="E14" s="34"/>
      <c r="F14" s="34"/>
      <c r="G14" s="34"/>
    </row>
    <row r="15" customFormat="false" ht="33.75" hidden="false" customHeight="true" outlineLevel="0" collapsed="false">
      <c r="B15" s="32" t="n">
        <v>6</v>
      </c>
      <c r="C15" s="33" t="s">
        <v>92</v>
      </c>
      <c r="D15" s="27" t="s">
        <v>93</v>
      </c>
      <c r="E15" s="32" t="s">
        <v>24</v>
      </c>
      <c r="F15" s="27"/>
      <c r="G15" s="27"/>
    </row>
    <row r="16" customFormat="false" ht="33.75" hidden="false" customHeight="true" outlineLevel="0" collapsed="false">
      <c r="B16" s="32" t="n">
        <v>7</v>
      </c>
      <c r="C16" s="33" t="s">
        <v>94</v>
      </c>
      <c r="D16" s="27" t="s">
        <v>95</v>
      </c>
      <c r="E16" s="32" t="s">
        <v>24</v>
      </c>
      <c r="F16" s="27"/>
      <c r="G16" s="27"/>
    </row>
    <row r="17" customFormat="false" ht="33.75" hidden="false" customHeight="true" outlineLevel="0" collapsed="false">
      <c r="B17" s="32" t="n">
        <v>8</v>
      </c>
      <c r="C17" s="33" t="s">
        <v>96</v>
      </c>
      <c r="D17" s="27" t="s">
        <v>97</v>
      </c>
      <c r="E17" s="32" t="s">
        <v>24</v>
      </c>
      <c r="F17" s="27"/>
      <c r="G17" s="27"/>
    </row>
    <row r="18" customFormat="false" ht="33.75" hidden="false" customHeight="true" outlineLevel="0" collapsed="false">
      <c r="B18" s="32" t="n">
        <v>9</v>
      </c>
      <c r="C18" s="33" t="s">
        <v>98</v>
      </c>
      <c r="D18" s="27" t="s">
        <v>99</v>
      </c>
      <c r="E18" s="32" t="s">
        <v>24</v>
      </c>
      <c r="F18" s="27"/>
      <c r="G18" s="27"/>
    </row>
    <row r="19" customFormat="false" ht="33.75" hidden="false" customHeight="true" outlineLevel="0" collapsed="false">
      <c r="B19" s="32" t="n">
        <v>10</v>
      </c>
      <c r="C19" s="33" t="s">
        <v>100</v>
      </c>
      <c r="D19" s="27" t="s">
        <v>101</v>
      </c>
      <c r="E19" s="32" t="s">
        <v>24</v>
      </c>
      <c r="F19" s="27"/>
      <c r="G19" s="27"/>
    </row>
    <row r="20" customFormat="false" ht="33.75" hidden="false" customHeight="true" outlineLevel="0" collapsed="false">
      <c r="B20" s="32" t="n">
        <v>11</v>
      </c>
      <c r="C20" s="33" t="s">
        <v>102</v>
      </c>
      <c r="D20" s="27" t="s">
        <v>103</v>
      </c>
      <c r="E20" s="32" t="s">
        <v>24</v>
      </c>
      <c r="F20" s="27"/>
      <c r="G20" s="27"/>
    </row>
    <row r="21" customFormat="false" ht="21.75" hidden="false" customHeight="true" outlineLevel="0" collapsed="false">
      <c r="B21" s="35" t="s">
        <v>104</v>
      </c>
      <c r="C21" s="35"/>
      <c r="D21" s="35"/>
      <c r="E21" s="35"/>
      <c r="F21" s="35"/>
      <c r="G21" s="35"/>
    </row>
    <row r="22" customFormat="false" ht="33.75" hidden="false" customHeight="true" outlineLevel="0" collapsed="false">
      <c r="B22" s="32" t="n">
        <v>12</v>
      </c>
      <c r="C22" s="33" t="s">
        <v>105</v>
      </c>
      <c r="D22" s="27" t="s">
        <v>106</v>
      </c>
      <c r="E22" s="32" t="s">
        <v>24</v>
      </c>
      <c r="F22" s="27"/>
      <c r="G22" s="27"/>
    </row>
    <row r="23" customFormat="false" ht="33.75" hidden="false" customHeight="true" outlineLevel="0" collapsed="false">
      <c r="B23" s="32" t="n">
        <v>13</v>
      </c>
      <c r="C23" s="33" t="s">
        <v>107</v>
      </c>
      <c r="D23" s="27" t="s">
        <v>108</v>
      </c>
      <c r="E23" s="32" t="s">
        <v>24</v>
      </c>
      <c r="F23" s="27"/>
      <c r="G23" s="27"/>
    </row>
    <row r="24" customFormat="false" ht="33.75" hidden="false" customHeight="true" outlineLevel="0" collapsed="false">
      <c r="B24" s="32" t="n">
        <v>14</v>
      </c>
      <c r="C24" s="33" t="s">
        <v>109</v>
      </c>
      <c r="D24" s="27" t="s">
        <v>110</v>
      </c>
      <c r="E24" s="32" t="s">
        <v>28</v>
      </c>
      <c r="F24" s="27" t="s">
        <v>205</v>
      </c>
      <c r="G24" s="27" t="s">
        <v>206</v>
      </c>
    </row>
    <row r="25" customFormat="false" ht="33.75" hidden="false" customHeight="true" outlineLevel="0" collapsed="false">
      <c r="B25" s="32" t="n">
        <v>15</v>
      </c>
      <c r="C25" s="33" t="s">
        <v>111</v>
      </c>
      <c r="D25" s="27" t="s">
        <v>112</v>
      </c>
      <c r="E25" s="32" t="s">
        <v>30</v>
      </c>
      <c r="F25" s="27"/>
      <c r="G25" s="27"/>
    </row>
    <row r="26" customFormat="false" ht="33.75" hidden="false" customHeight="true" outlineLevel="0" collapsed="false">
      <c r="B26" s="32" t="n">
        <v>16</v>
      </c>
      <c r="C26" s="33" t="s">
        <v>113</v>
      </c>
      <c r="D26" s="27" t="s">
        <v>114</v>
      </c>
      <c r="E26" s="32" t="s">
        <v>30</v>
      </c>
      <c r="F26" s="27"/>
      <c r="G26" s="27"/>
    </row>
    <row r="27" customFormat="false" ht="21.75" hidden="false" customHeight="true" outlineLevel="0" collapsed="false">
      <c r="B27" s="36" t="s">
        <v>117</v>
      </c>
      <c r="C27" s="36"/>
      <c r="D27" s="36"/>
      <c r="E27" s="36"/>
      <c r="F27" s="36"/>
      <c r="G27" s="36"/>
    </row>
    <row r="28" customFormat="false" ht="33.75" hidden="false" customHeight="true" outlineLevel="0" collapsed="false">
      <c r="B28" s="32" t="n">
        <v>17</v>
      </c>
      <c r="C28" s="33" t="s">
        <v>118</v>
      </c>
      <c r="D28" s="27" t="s">
        <v>119</v>
      </c>
      <c r="E28" s="32" t="s">
        <v>28</v>
      </c>
      <c r="F28" s="27" t="s">
        <v>120</v>
      </c>
      <c r="G28" s="27" t="s">
        <v>121</v>
      </c>
    </row>
    <row r="29" customFormat="false" ht="33.75" hidden="false" customHeight="true" outlineLevel="0" collapsed="false">
      <c r="B29" s="32" t="n">
        <v>18</v>
      </c>
      <c r="C29" s="33" t="s">
        <v>122</v>
      </c>
      <c r="D29" s="27" t="s">
        <v>123</v>
      </c>
      <c r="E29" s="32" t="s">
        <v>24</v>
      </c>
      <c r="F29" s="27"/>
      <c r="G29" s="27"/>
    </row>
    <row r="30" customFormat="false" ht="33.75" hidden="false" customHeight="true" outlineLevel="0" collapsed="false">
      <c r="B30" s="32" t="n">
        <v>19</v>
      </c>
      <c r="C30" s="33" t="s">
        <v>124</v>
      </c>
      <c r="D30" s="27" t="s">
        <v>125</v>
      </c>
      <c r="E30" s="32" t="s">
        <v>24</v>
      </c>
      <c r="F30" s="27"/>
      <c r="G30" s="27"/>
    </row>
    <row r="31" customFormat="false" ht="33.75" hidden="false" customHeight="true" outlineLevel="0" collapsed="false">
      <c r="B31" s="32" t="n">
        <v>20</v>
      </c>
      <c r="C31" s="33" t="s">
        <v>126</v>
      </c>
      <c r="D31" s="27" t="s">
        <v>127</v>
      </c>
      <c r="E31" s="32" t="s">
        <v>24</v>
      </c>
      <c r="F31" s="27"/>
      <c r="G31" s="27"/>
    </row>
    <row r="32" customFormat="false" ht="33.75" hidden="false" customHeight="true" outlineLevel="0" collapsed="false">
      <c r="B32" s="32" t="n">
        <v>21</v>
      </c>
      <c r="C32" s="33" t="s">
        <v>128</v>
      </c>
      <c r="D32" s="27" t="s">
        <v>129</v>
      </c>
      <c r="E32" s="32" t="s">
        <v>28</v>
      </c>
      <c r="F32" s="27" t="s">
        <v>130</v>
      </c>
      <c r="G32" s="27" t="s">
        <v>131</v>
      </c>
    </row>
    <row r="33" customFormat="false" ht="33.75" hidden="false" customHeight="true" outlineLevel="0" collapsed="false">
      <c r="B33" s="32" t="n">
        <v>22</v>
      </c>
      <c r="C33" s="33" t="s">
        <v>132</v>
      </c>
      <c r="D33" s="27" t="s">
        <v>133</v>
      </c>
      <c r="E33" s="32" t="s">
        <v>24</v>
      </c>
      <c r="F33" s="27"/>
      <c r="G33" s="27"/>
    </row>
    <row r="35" customFormat="false" ht="15" hidden="false" customHeight="true" outlineLevel="0" collapsed="false">
      <c r="B35" s="28" t="s">
        <v>134</v>
      </c>
      <c r="C35" s="28"/>
      <c r="D35" s="37" t="n">
        <f aca="false">COUNTIF(E8:E33,"✗ No cumple")</f>
        <v>0</v>
      </c>
    </row>
    <row r="36" customFormat="false" ht="15" hidden="false" customHeight="true" outlineLevel="0" collapsed="false">
      <c r="B36" s="28" t="s">
        <v>135</v>
      </c>
      <c r="C36" s="28"/>
      <c r="D36" s="38" t="n">
        <f aca="false">COUNTIF(E8:E33,"⚠ Revisar")</f>
        <v>4</v>
      </c>
    </row>
    <row r="37" customFormat="false" ht="24" hidden="false" customHeight="true" outlineLevel="0" collapsed="false">
      <c r="B37" s="39" t="s">
        <v>136</v>
      </c>
      <c r="C37" s="39"/>
      <c r="D37" s="40" t="str">
        <f aca="false">IF(D35&gt;0,"RECHAZADA - corregir ambigüedades críticas",IF(D36&gt;0,"APROBADA CON OBSERVACIONES - aclarar pendientes","APROBADA - lista para BDD"))</f>
        <v>APROBADA CON OBSERVACIONES - aclarar pendientes</v>
      </c>
      <c r="E37" s="40"/>
      <c r="F37" s="40"/>
      <c r="G37" s="40"/>
    </row>
  </sheetData>
  <mergeCells count="13">
    <mergeCell ref="B2:G2"/>
    <mergeCell ref="B3:C3"/>
    <mergeCell ref="E3:F3"/>
    <mergeCell ref="B4:G4"/>
    <mergeCell ref="B5:G5"/>
    <mergeCell ref="B8:G8"/>
    <mergeCell ref="B14:G14"/>
    <mergeCell ref="B21:G21"/>
    <mergeCell ref="B27:G27"/>
    <mergeCell ref="B35:C35"/>
    <mergeCell ref="B36:C36"/>
    <mergeCell ref="B37:C37"/>
    <mergeCell ref="D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34"/>
  </cols>
  <sheetData>
    <row r="2" customFormat="false" ht="33.75" hidden="false" customHeight="true" outlineLevel="0" collapsed="false">
      <c r="B2" s="14" t="s">
        <v>66</v>
      </c>
      <c r="C2" s="14"/>
      <c r="D2" s="14"/>
      <c r="E2" s="14"/>
      <c r="F2" s="14"/>
      <c r="G2" s="14"/>
    </row>
    <row r="3" customFormat="false" ht="15" hidden="false" customHeight="true" outlineLevel="0" collapsed="false">
      <c r="B3" s="28" t="s">
        <v>67</v>
      </c>
      <c r="C3" s="28"/>
      <c r="D3" s="29" t="s">
        <v>207</v>
      </c>
      <c r="E3" s="28" t="s">
        <v>69</v>
      </c>
      <c r="F3" s="28"/>
      <c r="G3" s="29" t="s">
        <v>5</v>
      </c>
    </row>
    <row r="4" customFormat="false" ht="15" hidden="false" customHeight="true" outlineLevel="0" collapsed="false">
      <c r="B4" s="28" t="s">
        <v>70</v>
      </c>
      <c r="C4" s="28"/>
      <c r="D4" s="28"/>
      <c r="E4" s="28"/>
      <c r="F4" s="28"/>
      <c r="G4" s="28"/>
    </row>
    <row r="5" customFormat="false" ht="30" hidden="false" customHeight="true" outlineLevel="0" collapsed="false">
      <c r="B5" s="30" t="s">
        <v>208</v>
      </c>
      <c r="C5" s="30"/>
      <c r="D5" s="30"/>
      <c r="E5" s="30"/>
      <c r="F5" s="30"/>
      <c r="G5" s="30"/>
    </row>
    <row r="7" customFormat="false" ht="24" hidden="false" customHeight="true" outlineLevel="0" collapsed="false">
      <c r="B7" s="22" t="s">
        <v>72</v>
      </c>
      <c r="C7" s="22" t="s">
        <v>73</v>
      </c>
      <c r="D7" s="22" t="s">
        <v>74</v>
      </c>
      <c r="E7" s="22" t="s">
        <v>75</v>
      </c>
      <c r="F7" s="22" t="s">
        <v>76</v>
      </c>
      <c r="G7" s="22" t="s">
        <v>77</v>
      </c>
    </row>
    <row r="8" customFormat="false" ht="21.75" hidden="false" customHeight="true" outlineLevel="0" collapsed="false">
      <c r="B8" s="31" t="s">
        <v>78</v>
      </c>
      <c r="C8" s="31"/>
      <c r="D8" s="31"/>
      <c r="E8" s="31"/>
      <c r="F8" s="31"/>
      <c r="G8" s="31"/>
    </row>
    <row r="9" customFormat="false" ht="33.75" hidden="false" customHeight="true" outlineLevel="0" collapsed="false">
      <c r="B9" s="32" t="n">
        <v>1</v>
      </c>
      <c r="C9" s="33" t="s">
        <v>79</v>
      </c>
      <c r="D9" s="27" t="s">
        <v>80</v>
      </c>
      <c r="E9" s="32" t="s">
        <v>24</v>
      </c>
      <c r="F9" s="27"/>
      <c r="G9" s="27"/>
    </row>
    <row r="10" customFormat="false" ht="33.75" hidden="false" customHeight="true" outlineLevel="0" collapsed="false">
      <c r="B10" s="32" t="n">
        <v>2</v>
      </c>
      <c r="C10" s="33" t="s">
        <v>81</v>
      </c>
      <c r="D10" s="27" t="s">
        <v>82</v>
      </c>
      <c r="E10" s="32" t="s">
        <v>28</v>
      </c>
      <c r="F10" s="27" t="s">
        <v>83</v>
      </c>
      <c r="G10" s="27" t="s">
        <v>84</v>
      </c>
    </row>
    <row r="11" customFormat="false" ht="33.75" hidden="false" customHeight="true" outlineLevel="0" collapsed="false">
      <c r="B11" s="32" t="n">
        <v>3</v>
      </c>
      <c r="C11" s="33" t="s">
        <v>85</v>
      </c>
      <c r="D11" s="27" t="s">
        <v>86</v>
      </c>
      <c r="E11" s="32" t="s">
        <v>24</v>
      </c>
      <c r="F11" s="27"/>
      <c r="G11" s="27"/>
    </row>
    <row r="12" customFormat="false" ht="33.75" hidden="false" customHeight="true" outlineLevel="0" collapsed="false">
      <c r="B12" s="32" t="n">
        <v>4</v>
      </c>
      <c r="C12" s="33" t="s">
        <v>87</v>
      </c>
      <c r="D12" s="27" t="s">
        <v>88</v>
      </c>
      <c r="E12" s="32" t="s">
        <v>24</v>
      </c>
      <c r="F12" s="27"/>
      <c r="G12" s="27"/>
    </row>
    <row r="13" customFormat="false" ht="33.75" hidden="false" customHeight="true" outlineLevel="0" collapsed="false">
      <c r="B13" s="32" t="n">
        <v>5</v>
      </c>
      <c r="C13" s="33" t="s">
        <v>89</v>
      </c>
      <c r="D13" s="27" t="s">
        <v>90</v>
      </c>
      <c r="E13" s="32" t="s">
        <v>24</v>
      </c>
      <c r="F13" s="27"/>
      <c r="G13" s="27"/>
    </row>
    <row r="14" customFormat="false" ht="21.75" hidden="false" customHeight="true" outlineLevel="0" collapsed="false">
      <c r="B14" s="34" t="s">
        <v>91</v>
      </c>
      <c r="C14" s="34"/>
      <c r="D14" s="34"/>
      <c r="E14" s="34"/>
      <c r="F14" s="34"/>
      <c r="G14" s="34"/>
    </row>
    <row r="15" customFormat="false" ht="33.75" hidden="false" customHeight="true" outlineLevel="0" collapsed="false">
      <c r="B15" s="32" t="n">
        <v>6</v>
      </c>
      <c r="C15" s="33" t="s">
        <v>92</v>
      </c>
      <c r="D15" s="27" t="s">
        <v>93</v>
      </c>
      <c r="E15" s="32" t="s">
        <v>28</v>
      </c>
      <c r="F15" s="27" t="s">
        <v>209</v>
      </c>
      <c r="G15" s="27" t="s">
        <v>210</v>
      </c>
    </row>
    <row r="16" customFormat="false" ht="33.75" hidden="false" customHeight="true" outlineLevel="0" collapsed="false">
      <c r="B16" s="32" t="n">
        <v>7</v>
      </c>
      <c r="C16" s="33" t="s">
        <v>94</v>
      </c>
      <c r="D16" s="27" t="s">
        <v>95</v>
      </c>
      <c r="E16" s="32" t="s">
        <v>24</v>
      </c>
      <c r="F16" s="27"/>
      <c r="G16" s="27"/>
    </row>
    <row r="17" customFormat="false" ht="33.75" hidden="false" customHeight="true" outlineLevel="0" collapsed="false">
      <c r="B17" s="32" t="n">
        <v>8</v>
      </c>
      <c r="C17" s="33" t="s">
        <v>96</v>
      </c>
      <c r="D17" s="27" t="s">
        <v>97</v>
      </c>
      <c r="E17" s="32" t="s">
        <v>24</v>
      </c>
      <c r="F17" s="27"/>
      <c r="G17" s="27"/>
    </row>
    <row r="18" customFormat="false" ht="33.75" hidden="false" customHeight="true" outlineLevel="0" collapsed="false">
      <c r="B18" s="32" t="n">
        <v>9</v>
      </c>
      <c r="C18" s="33" t="s">
        <v>98</v>
      </c>
      <c r="D18" s="27" t="s">
        <v>99</v>
      </c>
      <c r="E18" s="32" t="s">
        <v>28</v>
      </c>
      <c r="F18" s="27" t="s">
        <v>211</v>
      </c>
      <c r="G18" s="27" t="s">
        <v>212</v>
      </c>
    </row>
    <row r="19" customFormat="false" ht="33.75" hidden="false" customHeight="true" outlineLevel="0" collapsed="false">
      <c r="B19" s="32" t="n">
        <v>10</v>
      </c>
      <c r="C19" s="33" t="s">
        <v>100</v>
      </c>
      <c r="D19" s="27" t="s">
        <v>101</v>
      </c>
      <c r="E19" s="32" t="s">
        <v>24</v>
      </c>
      <c r="F19" s="27"/>
      <c r="G19" s="27"/>
    </row>
    <row r="20" customFormat="false" ht="33.75" hidden="false" customHeight="true" outlineLevel="0" collapsed="false">
      <c r="B20" s="32" t="n">
        <v>11</v>
      </c>
      <c r="C20" s="33" t="s">
        <v>102</v>
      </c>
      <c r="D20" s="27" t="s">
        <v>103</v>
      </c>
      <c r="E20" s="32" t="s">
        <v>24</v>
      </c>
      <c r="F20" s="27"/>
      <c r="G20" s="27"/>
    </row>
    <row r="21" customFormat="false" ht="21.75" hidden="false" customHeight="true" outlineLevel="0" collapsed="false">
      <c r="B21" s="35" t="s">
        <v>104</v>
      </c>
      <c r="C21" s="35"/>
      <c r="D21" s="35"/>
      <c r="E21" s="35"/>
      <c r="F21" s="35"/>
      <c r="G21" s="35"/>
    </row>
    <row r="22" customFormat="false" ht="33.75" hidden="false" customHeight="true" outlineLevel="0" collapsed="false">
      <c r="B22" s="32" t="n">
        <v>12</v>
      </c>
      <c r="C22" s="33" t="s">
        <v>105</v>
      </c>
      <c r="D22" s="27" t="s">
        <v>106</v>
      </c>
      <c r="E22" s="32" t="s">
        <v>24</v>
      </c>
      <c r="F22" s="27"/>
      <c r="G22" s="27"/>
    </row>
    <row r="23" customFormat="false" ht="33.75" hidden="false" customHeight="true" outlineLevel="0" collapsed="false">
      <c r="B23" s="32" t="n">
        <v>13</v>
      </c>
      <c r="C23" s="33" t="s">
        <v>107</v>
      </c>
      <c r="D23" s="27" t="s">
        <v>108</v>
      </c>
      <c r="E23" s="32" t="s">
        <v>24</v>
      </c>
      <c r="F23" s="27"/>
      <c r="G23" s="27"/>
    </row>
    <row r="24" customFormat="false" ht="33.75" hidden="false" customHeight="true" outlineLevel="0" collapsed="false">
      <c r="B24" s="32" t="n">
        <v>14</v>
      </c>
      <c r="C24" s="33" t="s">
        <v>109</v>
      </c>
      <c r="D24" s="27" t="s">
        <v>110</v>
      </c>
      <c r="E24" s="32" t="s">
        <v>30</v>
      </c>
      <c r="F24" s="27"/>
      <c r="G24" s="27"/>
    </row>
    <row r="25" customFormat="false" ht="33.75" hidden="false" customHeight="true" outlineLevel="0" collapsed="false">
      <c r="B25" s="32" t="n">
        <v>15</v>
      </c>
      <c r="C25" s="33" t="s">
        <v>111</v>
      </c>
      <c r="D25" s="27" t="s">
        <v>112</v>
      </c>
      <c r="E25" s="32" t="s">
        <v>24</v>
      </c>
      <c r="F25" s="27"/>
      <c r="G25" s="27"/>
    </row>
    <row r="26" customFormat="false" ht="33.75" hidden="false" customHeight="true" outlineLevel="0" collapsed="false">
      <c r="B26" s="32" t="n">
        <v>16</v>
      </c>
      <c r="C26" s="33" t="s">
        <v>113</v>
      </c>
      <c r="D26" s="27" t="s">
        <v>114</v>
      </c>
      <c r="E26" s="32" t="s">
        <v>30</v>
      </c>
      <c r="F26" s="27"/>
      <c r="G26" s="27"/>
    </row>
    <row r="27" customFormat="false" ht="21.75" hidden="false" customHeight="true" outlineLevel="0" collapsed="false">
      <c r="B27" s="36" t="s">
        <v>117</v>
      </c>
      <c r="C27" s="36"/>
      <c r="D27" s="36"/>
      <c r="E27" s="36"/>
      <c r="F27" s="36"/>
      <c r="G27" s="36"/>
    </row>
    <row r="28" customFormat="false" ht="33.75" hidden="false" customHeight="true" outlineLevel="0" collapsed="false">
      <c r="B28" s="32" t="n">
        <v>17</v>
      </c>
      <c r="C28" s="33" t="s">
        <v>118</v>
      </c>
      <c r="D28" s="27" t="s">
        <v>119</v>
      </c>
      <c r="E28" s="32" t="s">
        <v>28</v>
      </c>
      <c r="F28" s="27" t="s">
        <v>120</v>
      </c>
      <c r="G28" s="27" t="s">
        <v>121</v>
      </c>
    </row>
    <row r="29" customFormat="false" ht="33.75" hidden="false" customHeight="true" outlineLevel="0" collapsed="false">
      <c r="B29" s="32" t="n">
        <v>18</v>
      </c>
      <c r="C29" s="33" t="s">
        <v>122</v>
      </c>
      <c r="D29" s="27" t="s">
        <v>123</v>
      </c>
      <c r="E29" s="32" t="s">
        <v>24</v>
      </c>
      <c r="F29" s="27"/>
      <c r="G29" s="27"/>
    </row>
    <row r="30" customFormat="false" ht="33.75" hidden="false" customHeight="true" outlineLevel="0" collapsed="false">
      <c r="B30" s="32" t="n">
        <v>19</v>
      </c>
      <c r="C30" s="33" t="s">
        <v>124</v>
      </c>
      <c r="D30" s="27" t="s">
        <v>125</v>
      </c>
      <c r="E30" s="32" t="s">
        <v>30</v>
      </c>
      <c r="F30" s="27"/>
      <c r="G30" s="27"/>
    </row>
    <row r="31" customFormat="false" ht="33.75" hidden="false" customHeight="true" outlineLevel="0" collapsed="false">
      <c r="B31" s="32" t="n">
        <v>20</v>
      </c>
      <c r="C31" s="33" t="s">
        <v>126</v>
      </c>
      <c r="D31" s="27" t="s">
        <v>127</v>
      </c>
      <c r="E31" s="32" t="s">
        <v>24</v>
      </c>
      <c r="F31" s="27"/>
      <c r="G31" s="27"/>
    </row>
    <row r="32" customFormat="false" ht="33.75" hidden="false" customHeight="true" outlineLevel="0" collapsed="false">
      <c r="B32" s="32" t="n">
        <v>21</v>
      </c>
      <c r="C32" s="33" t="s">
        <v>128</v>
      </c>
      <c r="D32" s="27" t="s">
        <v>129</v>
      </c>
      <c r="E32" s="32" t="s">
        <v>28</v>
      </c>
      <c r="F32" s="27" t="s">
        <v>130</v>
      </c>
      <c r="G32" s="27" t="s">
        <v>131</v>
      </c>
    </row>
    <row r="33" customFormat="false" ht="33.75" hidden="false" customHeight="true" outlineLevel="0" collapsed="false">
      <c r="B33" s="32" t="n">
        <v>22</v>
      </c>
      <c r="C33" s="33" t="s">
        <v>132</v>
      </c>
      <c r="D33" s="27" t="s">
        <v>133</v>
      </c>
      <c r="E33" s="32" t="s">
        <v>24</v>
      </c>
      <c r="F33" s="27"/>
      <c r="G33" s="27"/>
    </row>
    <row r="35" customFormat="false" ht="15" hidden="false" customHeight="true" outlineLevel="0" collapsed="false">
      <c r="B35" s="28" t="s">
        <v>134</v>
      </c>
      <c r="C35" s="28"/>
      <c r="D35" s="37" t="n">
        <f aca="false">COUNTIF(E8:E33,"✗ No cumple")</f>
        <v>0</v>
      </c>
    </row>
    <row r="36" customFormat="false" ht="15" hidden="false" customHeight="true" outlineLevel="0" collapsed="false">
      <c r="B36" s="28" t="s">
        <v>135</v>
      </c>
      <c r="C36" s="28"/>
      <c r="D36" s="38" t="n">
        <f aca="false">COUNTIF(E8:E33,"⚠ Revisar")</f>
        <v>5</v>
      </c>
    </row>
    <row r="37" customFormat="false" ht="24" hidden="false" customHeight="true" outlineLevel="0" collapsed="false">
      <c r="B37" s="39" t="s">
        <v>136</v>
      </c>
      <c r="C37" s="39"/>
      <c r="D37" s="40" t="str">
        <f aca="false">IF(D35&gt;0,"RECHAZADA - corregir ambigüedades críticas",IF(D36&gt;0,"APROBADA CON OBSERVACIONES - aclarar pendientes","APROBADA - lista para BDD"))</f>
        <v>APROBADA CON OBSERVACIONES - aclarar pendientes</v>
      </c>
      <c r="E37" s="40"/>
      <c r="F37" s="40"/>
      <c r="G37" s="40"/>
    </row>
  </sheetData>
  <mergeCells count="13">
    <mergeCell ref="B2:G2"/>
    <mergeCell ref="B3:C3"/>
    <mergeCell ref="E3:F3"/>
    <mergeCell ref="B4:G4"/>
    <mergeCell ref="B5:G5"/>
    <mergeCell ref="B8:G8"/>
    <mergeCell ref="B14:G14"/>
    <mergeCell ref="B21:G21"/>
    <mergeCell ref="B27:G27"/>
    <mergeCell ref="B35:C35"/>
    <mergeCell ref="B36:C36"/>
    <mergeCell ref="B37:C37"/>
    <mergeCell ref="D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34"/>
  </cols>
  <sheetData>
    <row r="2" customFormat="false" ht="33.75" hidden="false" customHeight="true" outlineLevel="0" collapsed="false">
      <c r="B2" s="14" t="s">
        <v>66</v>
      </c>
      <c r="C2" s="14"/>
      <c r="D2" s="14"/>
      <c r="E2" s="14"/>
      <c r="F2" s="14"/>
      <c r="G2" s="14"/>
    </row>
    <row r="3" customFormat="false" ht="15" hidden="false" customHeight="true" outlineLevel="0" collapsed="false">
      <c r="B3" s="28" t="s">
        <v>67</v>
      </c>
      <c r="C3" s="28"/>
      <c r="D3" s="29" t="s">
        <v>213</v>
      </c>
      <c r="E3" s="28" t="s">
        <v>69</v>
      </c>
      <c r="F3" s="28"/>
      <c r="G3" s="29" t="s">
        <v>5</v>
      </c>
    </row>
    <row r="4" customFormat="false" ht="15" hidden="false" customHeight="true" outlineLevel="0" collapsed="false">
      <c r="B4" s="28" t="s">
        <v>70</v>
      </c>
      <c r="C4" s="28"/>
      <c r="D4" s="28"/>
      <c r="E4" s="28"/>
      <c r="F4" s="28"/>
      <c r="G4" s="28"/>
    </row>
    <row r="5" customFormat="false" ht="30" hidden="false" customHeight="true" outlineLevel="0" collapsed="false">
      <c r="B5" s="30" t="s">
        <v>214</v>
      </c>
      <c r="C5" s="30"/>
      <c r="D5" s="30"/>
      <c r="E5" s="30"/>
      <c r="F5" s="30"/>
      <c r="G5" s="30"/>
    </row>
    <row r="7" customFormat="false" ht="24" hidden="false" customHeight="true" outlineLevel="0" collapsed="false">
      <c r="B7" s="22" t="s">
        <v>72</v>
      </c>
      <c r="C7" s="22" t="s">
        <v>73</v>
      </c>
      <c r="D7" s="22" t="s">
        <v>74</v>
      </c>
      <c r="E7" s="22" t="s">
        <v>75</v>
      </c>
      <c r="F7" s="22" t="s">
        <v>76</v>
      </c>
      <c r="G7" s="22" t="s">
        <v>77</v>
      </c>
    </row>
    <row r="8" customFormat="false" ht="21.75" hidden="false" customHeight="true" outlineLevel="0" collapsed="false">
      <c r="B8" s="31" t="s">
        <v>78</v>
      </c>
      <c r="C8" s="31"/>
      <c r="D8" s="31"/>
      <c r="E8" s="31"/>
      <c r="F8" s="31"/>
      <c r="G8" s="31"/>
    </row>
    <row r="9" customFormat="false" ht="33.75" hidden="false" customHeight="true" outlineLevel="0" collapsed="false">
      <c r="B9" s="32" t="n">
        <v>1</v>
      </c>
      <c r="C9" s="33" t="s">
        <v>79</v>
      </c>
      <c r="D9" s="27" t="s">
        <v>80</v>
      </c>
      <c r="E9" s="32" t="s">
        <v>24</v>
      </c>
      <c r="F9" s="27"/>
      <c r="G9" s="27"/>
    </row>
    <row r="10" customFormat="false" ht="33.75" hidden="false" customHeight="true" outlineLevel="0" collapsed="false">
      <c r="B10" s="32" t="n">
        <v>2</v>
      </c>
      <c r="C10" s="33" t="s">
        <v>81</v>
      </c>
      <c r="D10" s="27" t="s">
        <v>82</v>
      </c>
      <c r="E10" s="32" t="s">
        <v>28</v>
      </c>
      <c r="F10" s="27" t="s">
        <v>83</v>
      </c>
      <c r="G10" s="27" t="s">
        <v>84</v>
      </c>
    </row>
    <row r="11" customFormat="false" ht="33.75" hidden="false" customHeight="true" outlineLevel="0" collapsed="false">
      <c r="B11" s="32" t="n">
        <v>3</v>
      </c>
      <c r="C11" s="33" t="s">
        <v>85</v>
      </c>
      <c r="D11" s="27" t="s">
        <v>86</v>
      </c>
      <c r="E11" s="32" t="s">
        <v>24</v>
      </c>
      <c r="F11" s="27"/>
      <c r="G11" s="27"/>
    </row>
    <row r="12" customFormat="false" ht="33.75" hidden="false" customHeight="true" outlineLevel="0" collapsed="false">
      <c r="B12" s="32" t="n">
        <v>4</v>
      </c>
      <c r="C12" s="33" t="s">
        <v>87</v>
      </c>
      <c r="D12" s="27" t="s">
        <v>88</v>
      </c>
      <c r="E12" s="32" t="s">
        <v>24</v>
      </c>
      <c r="F12" s="27"/>
      <c r="G12" s="27"/>
    </row>
    <row r="13" customFormat="false" ht="33.75" hidden="false" customHeight="true" outlineLevel="0" collapsed="false">
      <c r="B13" s="32" t="n">
        <v>5</v>
      </c>
      <c r="C13" s="33" t="s">
        <v>89</v>
      </c>
      <c r="D13" s="27" t="s">
        <v>90</v>
      </c>
      <c r="E13" s="32" t="s">
        <v>24</v>
      </c>
      <c r="F13" s="27"/>
      <c r="G13" s="27"/>
    </row>
    <row r="14" customFormat="false" ht="21.75" hidden="false" customHeight="true" outlineLevel="0" collapsed="false">
      <c r="B14" s="34" t="s">
        <v>91</v>
      </c>
      <c r="C14" s="34"/>
      <c r="D14" s="34"/>
      <c r="E14" s="34"/>
      <c r="F14" s="34"/>
      <c r="G14" s="34"/>
    </row>
    <row r="15" customFormat="false" ht="33.75" hidden="false" customHeight="true" outlineLevel="0" collapsed="false">
      <c r="B15" s="32" t="n">
        <v>6</v>
      </c>
      <c r="C15" s="33" t="s">
        <v>92</v>
      </c>
      <c r="D15" s="27" t="s">
        <v>93</v>
      </c>
      <c r="E15" s="32" t="s">
        <v>24</v>
      </c>
      <c r="F15" s="27"/>
      <c r="G15" s="27"/>
    </row>
    <row r="16" customFormat="false" ht="33.75" hidden="false" customHeight="true" outlineLevel="0" collapsed="false">
      <c r="B16" s="32" t="n">
        <v>7</v>
      </c>
      <c r="C16" s="33" t="s">
        <v>94</v>
      </c>
      <c r="D16" s="27" t="s">
        <v>95</v>
      </c>
      <c r="E16" s="32" t="s">
        <v>24</v>
      </c>
      <c r="F16" s="27"/>
      <c r="G16" s="27"/>
    </row>
    <row r="17" customFormat="false" ht="33.75" hidden="false" customHeight="true" outlineLevel="0" collapsed="false">
      <c r="B17" s="32" t="n">
        <v>8</v>
      </c>
      <c r="C17" s="33" t="s">
        <v>96</v>
      </c>
      <c r="D17" s="27" t="s">
        <v>97</v>
      </c>
      <c r="E17" s="32" t="s">
        <v>24</v>
      </c>
      <c r="F17" s="27"/>
      <c r="G17" s="27"/>
    </row>
    <row r="18" customFormat="false" ht="33.75" hidden="false" customHeight="true" outlineLevel="0" collapsed="false">
      <c r="B18" s="32" t="n">
        <v>9</v>
      </c>
      <c r="C18" s="33" t="s">
        <v>98</v>
      </c>
      <c r="D18" s="27" t="s">
        <v>99</v>
      </c>
      <c r="E18" s="32" t="s">
        <v>24</v>
      </c>
      <c r="F18" s="27"/>
      <c r="G18" s="27"/>
    </row>
    <row r="19" customFormat="false" ht="33.75" hidden="false" customHeight="true" outlineLevel="0" collapsed="false">
      <c r="B19" s="32" t="n">
        <v>10</v>
      </c>
      <c r="C19" s="33" t="s">
        <v>100</v>
      </c>
      <c r="D19" s="27" t="s">
        <v>101</v>
      </c>
      <c r="E19" s="32" t="s">
        <v>24</v>
      </c>
      <c r="F19" s="27"/>
      <c r="G19" s="27"/>
    </row>
    <row r="20" customFormat="false" ht="33.75" hidden="false" customHeight="true" outlineLevel="0" collapsed="false">
      <c r="B20" s="32" t="n">
        <v>11</v>
      </c>
      <c r="C20" s="33" t="s">
        <v>102</v>
      </c>
      <c r="D20" s="27" t="s">
        <v>103</v>
      </c>
      <c r="E20" s="32" t="s">
        <v>24</v>
      </c>
      <c r="F20" s="27"/>
      <c r="G20" s="27"/>
    </row>
    <row r="21" customFormat="false" ht="21.75" hidden="false" customHeight="true" outlineLevel="0" collapsed="false">
      <c r="B21" s="35" t="s">
        <v>104</v>
      </c>
      <c r="C21" s="35"/>
      <c r="D21" s="35"/>
      <c r="E21" s="35"/>
      <c r="F21" s="35"/>
      <c r="G21" s="35"/>
    </row>
    <row r="22" customFormat="false" ht="33.75" hidden="false" customHeight="true" outlineLevel="0" collapsed="false">
      <c r="B22" s="32" t="n">
        <v>12</v>
      </c>
      <c r="C22" s="33" t="s">
        <v>105</v>
      </c>
      <c r="D22" s="27" t="s">
        <v>106</v>
      </c>
      <c r="E22" s="32" t="s">
        <v>24</v>
      </c>
      <c r="F22" s="27"/>
      <c r="G22" s="27"/>
    </row>
    <row r="23" customFormat="false" ht="33.75" hidden="false" customHeight="true" outlineLevel="0" collapsed="false">
      <c r="B23" s="32" t="n">
        <v>13</v>
      </c>
      <c r="C23" s="33" t="s">
        <v>107</v>
      </c>
      <c r="D23" s="27" t="s">
        <v>108</v>
      </c>
      <c r="E23" s="32" t="s">
        <v>24</v>
      </c>
      <c r="F23" s="27"/>
      <c r="G23" s="27"/>
    </row>
    <row r="24" customFormat="false" ht="33.75" hidden="false" customHeight="true" outlineLevel="0" collapsed="false">
      <c r="B24" s="32" t="n">
        <v>14</v>
      </c>
      <c r="C24" s="33" t="s">
        <v>109</v>
      </c>
      <c r="D24" s="27" t="s">
        <v>110</v>
      </c>
      <c r="E24" s="32" t="s">
        <v>30</v>
      </c>
      <c r="F24" s="27"/>
      <c r="G24" s="27"/>
    </row>
    <row r="25" customFormat="false" ht="33.75" hidden="false" customHeight="true" outlineLevel="0" collapsed="false">
      <c r="B25" s="32" t="n">
        <v>15</v>
      </c>
      <c r="C25" s="33" t="s">
        <v>111</v>
      </c>
      <c r="D25" s="27" t="s">
        <v>112</v>
      </c>
      <c r="E25" s="32" t="s">
        <v>24</v>
      </c>
      <c r="F25" s="27"/>
      <c r="G25" s="27"/>
    </row>
    <row r="26" customFormat="false" ht="33.75" hidden="false" customHeight="true" outlineLevel="0" collapsed="false">
      <c r="B26" s="32" t="n">
        <v>16</v>
      </c>
      <c r="C26" s="33" t="s">
        <v>113</v>
      </c>
      <c r="D26" s="27" t="s">
        <v>114</v>
      </c>
      <c r="E26" s="32" t="s">
        <v>28</v>
      </c>
      <c r="F26" s="27" t="s">
        <v>215</v>
      </c>
      <c r="G26" s="27" t="s">
        <v>216</v>
      </c>
    </row>
    <row r="27" customFormat="false" ht="21.75" hidden="false" customHeight="true" outlineLevel="0" collapsed="false">
      <c r="B27" s="36" t="s">
        <v>117</v>
      </c>
      <c r="C27" s="36"/>
      <c r="D27" s="36"/>
      <c r="E27" s="36"/>
      <c r="F27" s="36"/>
      <c r="G27" s="36"/>
    </row>
    <row r="28" customFormat="false" ht="33.75" hidden="false" customHeight="true" outlineLevel="0" collapsed="false">
      <c r="B28" s="32" t="n">
        <v>17</v>
      </c>
      <c r="C28" s="33" t="s">
        <v>118</v>
      </c>
      <c r="D28" s="27" t="s">
        <v>119</v>
      </c>
      <c r="E28" s="32" t="s">
        <v>28</v>
      </c>
      <c r="F28" s="27" t="s">
        <v>120</v>
      </c>
      <c r="G28" s="27" t="s">
        <v>121</v>
      </c>
    </row>
    <row r="29" customFormat="false" ht="33.75" hidden="false" customHeight="true" outlineLevel="0" collapsed="false">
      <c r="B29" s="32" t="n">
        <v>18</v>
      </c>
      <c r="C29" s="33" t="s">
        <v>122</v>
      </c>
      <c r="D29" s="27" t="s">
        <v>123</v>
      </c>
      <c r="E29" s="32" t="s">
        <v>24</v>
      </c>
      <c r="F29" s="27"/>
      <c r="G29" s="27"/>
    </row>
    <row r="30" customFormat="false" ht="33.75" hidden="false" customHeight="true" outlineLevel="0" collapsed="false">
      <c r="B30" s="32" t="n">
        <v>19</v>
      </c>
      <c r="C30" s="33" t="s">
        <v>124</v>
      </c>
      <c r="D30" s="27" t="s">
        <v>125</v>
      </c>
      <c r="E30" s="32" t="s">
        <v>30</v>
      </c>
      <c r="F30" s="27"/>
      <c r="G30" s="27"/>
    </row>
    <row r="31" customFormat="false" ht="33.75" hidden="false" customHeight="true" outlineLevel="0" collapsed="false">
      <c r="B31" s="32" t="n">
        <v>20</v>
      </c>
      <c r="C31" s="33" t="s">
        <v>126</v>
      </c>
      <c r="D31" s="27" t="s">
        <v>127</v>
      </c>
      <c r="E31" s="32" t="s">
        <v>24</v>
      </c>
      <c r="F31" s="27"/>
      <c r="G31" s="27"/>
    </row>
    <row r="32" customFormat="false" ht="33.75" hidden="false" customHeight="true" outlineLevel="0" collapsed="false">
      <c r="B32" s="32" t="n">
        <v>21</v>
      </c>
      <c r="C32" s="33" t="s">
        <v>128</v>
      </c>
      <c r="D32" s="27" t="s">
        <v>129</v>
      </c>
      <c r="E32" s="32" t="s">
        <v>28</v>
      </c>
      <c r="F32" s="27" t="s">
        <v>130</v>
      </c>
      <c r="G32" s="27" t="s">
        <v>131</v>
      </c>
    </row>
    <row r="33" customFormat="false" ht="33.75" hidden="false" customHeight="true" outlineLevel="0" collapsed="false">
      <c r="B33" s="32" t="n">
        <v>22</v>
      </c>
      <c r="C33" s="33" t="s">
        <v>132</v>
      </c>
      <c r="D33" s="27" t="s">
        <v>133</v>
      </c>
      <c r="E33" s="32" t="s">
        <v>24</v>
      </c>
      <c r="F33" s="27"/>
      <c r="G33" s="27"/>
    </row>
    <row r="35" customFormat="false" ht="15" hidden="false" customHeight="true" outlineLevel="0" collapsed="false">
      <c r="B35" s="28" t="s">
        <v>134</v>
      </c>
      <c r="C35" s="28"/>
      <c r="D35" s="37" t="n">
        <f aca="false">COUNTIF(E8:E33,"✗ No cumple")</f>
        <v>0</v>
      </c>
    </row>
    <row r="36" customFormat="false" ht="15" hidden="false" customHeight="true" outlineLevel="0" collapsed="false">
      <c r="B36" s="28" t="s">
        <v>135</v>
      </c>
      <c r="C36" s="28"/>
      <c r="D36" s="38" t="n">
        <f aca="false">COUNTIF(E8:E33,"⚠ Revisar")</f>
        <v>4</v>
      </c>
    </row>
    <row r="37" customFormat="false" ht="24" hidden="false" customHeight="true" outlineLevel="0" collapsed="false">
      <c r="B37" s="39" t="s">
        <v>136</v>
      </c>
      <c r="C37" s="39"/>
      <c r="D37" s="40" t="str">
        <f aca="false">IF(D35&gt;0,"RECHAZADA - corregir ambigüedades críticas",IF(D36&gt;0,"APROBADA CON OBSERVACIONES - aclarar pendientes","APROBADA - lista para BDD"))</f>
        <v>APROBADA CON OBSERVACIONES - aclarar pendientes</v>
      </c>
      <c r="E37" s="40"/>
      <c r="F37" s="40"/>
      <c r="G37" s="40"/>
    </row>
  </sheetData>
  <mergeCells count="13">
    <mergeCell ref="B2:G2"/>
    <mergeCell ref="B3:C3"/>
    <mergeCell ref="E3:F3"/>
    <mergeCell ref="B4:G4"/>
    <mergeCell ref="B5:G5"/>
    <mergeCell ref="B8:G8"/>
    <mergeCell ref="B14:G14"/>
    <mergeCell ref="B21:G21"/>
    <mergeCell ref="B27:G27"/>
    <mergeCell ref="B35:C35"/>
    <mergeCell ref="B36:C36"/>
    <mergeCell ref="B37:C37"/>
    <mergeCell ref="D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34"/>
  </cols>
  <sheetData>
    <row r="2" customFormat="false" ht="33.75" hidden="false" customHeight="true" outlineLevel="0" collapsed="false">
      <c r="B2" s="14" t="s">
        <v>66</v>
      </c>
      <c r="C2" s="14"/>
      <c r="D2" s="14"/>
      <c r="E2" s="14"/>
      <c r="F2" s="14"/>
      <c r="G2" s="14"/>
    </row>
    <row r="3" customFormat="false" ht="15" hidden="false" customHeight="true" outlineLevel="0" collapsed="false">
      <c r="B3" s="28" t="s">
        <v>67</v>
      </c>
      <c r="C3" s="28"/>
      <c r="D3" s="29" t="s">
        <v>217</v>
      </c>
      <c r="E3" s="28" t="s">
        <v>69</v>
      </c>
      <c r="F3" s="28"/>
      <c r="G3" s="29" t="s">
        <v>5</v>
      </c>
    </row>
    <row r="4" customFormat="false" ht="15" hidden="false" customHeight="true" outlineLevel="0" collapsed="false">
      <c r="B4" s="28" t="s">
        <v>70</v>
      </c>
      <c r="C4" s="28"/>
      <c r="D4" s="28"/>
      <c r="E4" s="28"/>
      <c r="F4" s="28"/>
      <c r="G4" s="28"/>
    </row>
    <row r="5" customFormat="false" ht="30" hidden="false" customHeight="true" outlineLevel="0" collapsed="false">
      <c r="B5" s="30" t="s">
        <v>218</v>
      </c>
      <c r="C5" s="30"/>
      <c r="D5" s="30"/>
      <c r="E5" s="30"/>
      <c r="F5" s="30"/>
      <c r="G5" s="30"/>
    </row>
    <row r="7" customFormat="false" ht="24" hidden="false" customHeight="true" outlineLevel="0" collapsed="false">
      <c r="B7" s="22" t="s">
        <v>72</v>
      </c>
      <c r="C7" s="22" t="s">
        <v>73</v>
      </c>
      <c r="D7" s="22" t="s">
        <v>74</v>
      </c>
      <c r="E7" s="22" t="s">
        <v>75</v>
      </c>
      <c r="F7" s="22" t="s">
        <v>76</v>
      </c>
      <c r="G7" s="22" t="s">
        <v>77</v>
      </c>
    </row>
    <row r="8" customFormat="false" ht="21.75" hidden="false" customHeight="true" outlineLevel="0" collapsed="false">
      <c r="B8" s="31" t="s">
        <v>78</v>
      </c>
      <c r="C8" s="31"/>
      <c r="D8" s="31"/>
      <c r="E8" s="31"/>
      <c r="F8" s="31"/>
      <c r="G8" s="31"/>
    </row>
    <row r="9" customFormat="false" ht="33.75" hidden="false" customHeight="true" outlineLevel="0" collapsed="false">
      <c r="B9" s="32" t="n">
        <v>1</v>
      </c>
      <c r="C9" s="33" t="s">
        <v>79</v>
      </c>
      <c r="D9" s="27" t="s">
        <v>80</v>
      </c>
      <c r="E9" s="32" t="s">
        <v>24</v>
      </c>
      <c r="F9" s="27"/>
      <c r="G9" s="27"/>
    </row>
    <row r="10" customFormat="false" ht="33.75" hidden="false" customHeight="true" outlineLevel="0" collapsed="false">
      <c r="B10" s="32" t="n">
        <v>2</v>
      </c>
      <c r="C10" s="33" t="s">
        <v>81</v>
      </c>
      <c r="D10" s="27" t="s">
        <v>82</v>
      </c>
      <c r="E10" s="32" t="s">
        <v>28</v>
      </c>
      <c r="F10" s="27" t="s">
        <v>83</v>
      </c>
      <c r="G10" s="27" t="s">
        <v>84</v>
      </c>
    </row>
    <row r="11" customFormat="false" ht="33.75" hidden="false" customHeight="true" outlineLevel="0" collapsed="false">
      <c r="B11" s="32" t="n">
        <v>3</v>
      </c>
      <c r="C11" s="33" t="s">
        <v>85</v>
      </c>
      <c r="D11" s="27" t="s">
        <v>86</v>
      </c>
      <c r="E11" s="32" t="s">
        <v>24</v>
      </c>
      <c r="F11" s="27"/>
      <c r="G11" s="27"/>
    </row>
    <row r="12" customFormat="false" ht="33.75" hidden="false" customHeight="true" outlineLevel="0" collapsed="false">
      <c r="B12" s="32" t="n">
        <v>4</v>
      </c>
      <c r="C12" s="33" t="s">
        <v>87</v>
      </c>
      <c r="D12" s="27" t="s">
        <v>88</v>
      </c>
      <c r="E12" s="32" t="s">
        <v>24</v>
      </c>
      <c r="F12" s="27"/>
      <c r="G12" s="27"/>
    </row>
    <row r="13" customFormat="false" ht="33.75" hidden="false" customHeight="true" outlineLevel="0" collapsed="false">
      <c r="B13" s="32" t="n">
        <v>5</v>
      </c>
      <c r="C13" s="33" t="s">
        <v>89</v>
      </c>
      <c r="D13" s="27" t="s">
        <v>90</v>
      </c>
      <c r="E13" s="32" t="s">
        <v>24</v>
      </c>
      <c r="F13" s="27"/>
      <c r="G13" s="27"/>
    </row>
    <row r="14" customFormat="false" ht="21.75" hidden="false" customHeight="true" outlineLevel="0" collapsed="false">
      <c r="B14" s="34" t="s">
        <v>91</v>
      </c>
      <c r="C14" s="34"/>
      <c r="D14" s="34"/>
      <c r="E14" s="34"/>
      <c r="F14" s="34"/>
      <c r="G14" s="34"/>
    </row>
    <row r="15" customFormat="false" ht="33.75" hidden="false" customHeight="true" outlineLevel="0" collapsed="false">
      <c r="B15" s="32" t="n">
        <v>6</v>
      </c>
      <c r="C15" s="33" t="s">
        <v>92</v>
      </c>
      <c r="D15" s="27" t="s">
        <v>93</v>
      </c>
      <c r="E15" s="32" t="s">
        <v>24</v>
      </c>
      <c r="F15" s="27"/>
      <c r="G15" s="27"/>
    </row>
    <row r="16" customFormat="false" ht="33.75" hidden="false" customHeight="true" outlineLevel="0" collapsed="false">
      <c r="B16" s="32" t="n">
        <v>7</v>
      </c>
      <c r="C16" s="33" t="s">
        <v>94</v>
      </c>
      <c r="D16" s="27" t="s">
        <v>95</v>
      </c>
      <c r="E16" s="32" t="s">
        <v>24</v>
      </c>
      <c r="F16" s="27"/>
      <c r="G16" s="27"/>
    </row>
    <row r="17" customFormat="false" ht="33.75" hidden="false" customHeight="true" outlineLevel="0" collapsed="false">
      <c r="B17" s="32" t="n">
        <v>8</v>
      </c>
      <c r="C17" s="33" t="s">
        <v>96</v>
      </c>
      <c r="D17" s="27" t="s">
        <v>97</v>
      </c>
      <c r="E17" s="32" t="s">
        <v>24</v>
      </c>
      <c r="F17" s="27"/>
      <c r="G17" s="27"/>
    </row>
    <row r="18" customFormat="false" ht="33.75" hidden="false" customHeight="true" outlineLevel="0" collapsed="false">
      <c r="B18" s="32" t="n">
        <v>9</v>
      </c>
      <c r="C18" s="33" t="s">
        <v>98</v>
      </c>
      <c r="D18" s="27" t="s">
        <v>99</v>
      </c>
      <c r="E18" s="32" t="s">
        <v>24</v>
      </c>
      <c r="F18" s="27"/>
      <c r="G18" s="27"/>
    </row>
    <row r="19" customFormat="false" ht="33.75" hidden="false" customHeight="true" outlineLevel="0" collapsed="false">
      <c r="B19" s="32" t="n">
        <v>10</v>
      </c>
      <c r="C19" s="33" t="s">
        <v>100</v>
      </c>
      <c r="D19" s="27" t="s">
        <v>101</v>
      </c>
      <c r="E19" s="32" t="s">
        <v>24</v>
      </c>
      <c r="F19" s="27"/>
      <c r="G19" s="27"/>
    </row>
    <row r="20" customFormat="false" ht="33.75" hidden="false" customHeight="true" outlineLevel="0" collapsed="false">
      <c r="B20" s="32" t="n">
        <v>11</v>
      </c>
      <c r="C20" s="33" t="s">
        <v>102</v>
      </c>
      <c r="D20" s="27" t="s">
        <v>103</v>
      </c>
      <c r="E20" s="32" t="s">
        <v>24</v>
      </c>
      <c r="F20" s="27"/>
      <c r="G20" s="27"/>
    </row>
    <row r="21" customFormat="false" ht="21.75" hidden="false" customHeight="true" outlineLevel="0" collapsed="false">
      <c r="B21" s="35" t="s">
        <v>104</v>
      </c>
      <c r="C21" s="35"/>
      <c r="D21" s="35"/>
      <c r="E21" s="35"/>
      <c r="F21" s="35"/>
      <c r="G21" s="35"/>
    </row>
    <row r="22" customFormat="false" ht="33.75" hidden="false" customHeight="true" outlineLevel="0" collapsed="false">
      <c r="B22" s="32" t="n">
        <v>12</v>
      </c>
      <c r="C22" s="33" t="s">
        <v>105</v>
      </c>
      <c r="D22" s="27" t="s">
        <v>106</v>
      </c>
      <c r="E22" s="32" t="s">
        <v>24</v>
      </c>
      <c r="F22" s="27"/>
      <c r="G22" s="27"/>
    </row>
    <row r="23" customFormat="false" ht="33.75" hidden="false" customHeight="true" outlineLevel="0" collapsed="false">
      <c r="B23" s="32" t="n">
        <v>13</v>
      </c>
      <c r="C23" s="33" t="s">
        <v>107</v>
      </c>
      <c r="D23" s="27" t="s">
        <v>108</v>
      </c>
      <c r="E23" s="32" t="s">
        <v>24</v>
      </c>
      <c r="F23" s="27"/>
      <c r="G23" s="27"/>
    </row>
    <row r="24" customFormat="false" ht="33.75" hidden="false" customHeight="true" outlineLevel="0" collapsed="false">
      <c r="B24" s="32" t="n">
        <v>14</v>
      </c>
      <c r="C24" s="33" t="s">
        <v>109</v>
      </c>
      <c r="D24" s="27" t="s">
        <v>110</v>
      </c>
      <c r="E24" s="32" t="s">
        <v>30</v>
      </c>
      <c r="F24" s="27"/>
      <c r="G24" s="27"/>
    </row>
    <row r="25" customFormat="false" ht="33.75" hidden="false" customHeight="true" outlineLevel="0" collapsed="false">
      <c r="B25" s="32" t="n">
        <v>15</v>
      </c>
      <c r="C25" s="33" t="s">
        <v>111</v>
      </c>
      <c r="D25" s="27" t="s">
        <v>112</v>
      </c>
      <c r="E25" s="32" t="s">
        <v>30</v>
      </c>
      <c r="F25" s="27"/>
      <c r="G25" s="27"/>
    </row>
    <row r="26" customFormat="false" ht="33.75" hidden="false" customHeight="true" outlineLevel="0" collapsed="false">
      <c r="B26" s="32" t="n">
        <v>16</v>
      </c>
      <c r="C26" s="33" t="s">
        <v>113</v>
      </c>
      <c r="D26" s="27" t="s">
        <v>114</v>
      </c>
      <c r="E26" s="32" t="s">
        <v>30</v>
      </c>
      <c r="F26" s="27"/>
      <c r="G26" s="27"/>
    </row>
    <row r="27" customFormat="false" ht="21.75" hidden="false" customHeight="true" outlineLevel="0" collapsed="false">
      <c r="B27" s="36" t="s">
        <v>117</v>
      </c>
      <c r="C27" s="36"/>
      <c r="D27" s="36"/>
      <c r="E27" s="36"/>
      <c r="F27" s="36"/>
      <c r="G27" s="36"/>
    </row>
    <row r="28" customFormat="false" ht="33.75" hidden="false" customHeight="true" outlineLevel="0" collapsed="false">
      <c r="B28" s="32" t="n">
        <v>17</v>
      </c>
      <c r="C28" s="33" t="s">
        <v>118</v>
      </c>
      <c r="D28" s="27" t="s">
        <v>119</v>
      </c>
      <c r="E28" s="32" t="s">
        <v>24</v>
      </c>
      <c r="F28" s="27" t="s">
        <v>219</v>
      </c>
      <c r="G28" s="27"/>
    </row>
    <row r="29" customFormat="false" ht="33.75" hidden="false" customHeight="true" outlineLevel="0" collapsed="false">
      <c r="B29" s="32" t="n">
        <v>18</v>
      </c>
      <c r="C29" s="33" t="s">
        <v>122</v>
      </c>
      <c r="D29" s="27" t="s">
        <v>123</v>
      </c>
      <c r="E29" s="32" t="s">
        <v>24</v>
      </c>
      <c r="F29" s="27"/>
      <c r="G29" s="27"/>
    </row>
    <row r="30" customFormat="false" ht="33.75" hidden="false" customHeight="true" outlineLevel="0" collapsed="false">
      <c r="B30" s="32" t="n">
        <v>19</v>
      </c>
      <c r="C30" s="33" t="s">
        <v>124</v>
      </c>
      <c r="D30" s="27" t="s">
        <v>125</v>
      </c>
      <c r="E30" s="32" t="s">
        <v>24</v>
      </c>
      <c r="F30" s="27"/>
      <c r="G30" s="27"/>
    </row>
    <row r="31" customFormat="false" ht="33.75" hidden="false" customHeight="true" outlineLevel="0" collapsed="false">
      <c r="B31" s="32" t="n">
        <v>20</v>
      </c>
      <c r="C31" s="33" t="s">
        <v>126</v>
      </c>
      <c r="D31" s="27" t="s">
        <v>127</v>
      </c>
      <c r="E31" s="32" t="s">
        <v>24</v>
      </c>
      <c r="F31" s="27"/>
      <c r="G31" s="27"/>
    </row>
    <row r="32" customFormat="false" ht="33.75" hidden="false" customHeight="true" outlineLevel="0" collapsed="false">
      <c r="B32" s="32" t="n">
        <v>21</v>
      </c>
      <c r="C32" s="33" t="s">
        <v>128</v>
      </c>
      <c r="D32" s="27" t="s">
        <v>129</v>
      </c>
      <c r="E32" s="32" t="s">
        <v>28</v>
      </c>
      <c r="F32" s="27" t="s">
        <v>130</v>
      </c>
      <c r="G32" s="27" t="s">
        <v>131</v>
      </c>
    </row>
    <row r="33" customFormat="false" ht="33.75" hidden="false" customHeight="true" outlineLevel="0" collapsed="false">
      <c r="B33" s="32" t="n">
        <v>22</v>
      </c>
      <c r="C33" s="33" t="s">
        <v>132</v>
      </c>
      <c r="D33" s="27" t="s">
        <v>133</v>
      </c>
      <c r="E33" s="32" t="s">
        <v>24</v>
      </c>
      <c r="F33" s="27"/>
      <c r="G33" s="27"/>
    </row>
    <row r="35" customFormat="false" ht="15" hidden="false" customHeight="true" outlineLevel="0" collapsed="false">
      <c r="B35" s="28" t="s">
        <v>134</v>
      </c>
      <c r="C35" s="28"/>
      <c r="D35" s="37" t="n">
        <f aca="false">COUNTIF(E8:E33,"✗ No cumple")</f>
        <v>0</v>
      </c>
    </row>
    <row r="36" customFormat="false" ht="15" hidden="false" customHeight="true" outlineLevel="0" collapsed="false">
      <c r="B36" s="28" t="s">
        <v>135</v>
      </c>
      <c r="C36" s="28"/>
      <c r="D36" s="38" t="n">
        <f aca="false">COUNTIF(E8:E33,"⚠ Revisar")</f>
        <v>2</v>
      </c>
    </row>
    <row r="37" customFormat="false" ht="24" hidden="false" customHeight="true" outlineLevel="0" collapsed="false">
      <c r="B37" s="39" t="s">
        <v>136</v>
      </c>
      <c r="C37" s="39"/>
      <c r="D37" s="40" t="str">
        <f aca="false">IF(D35&gt;0,"RECHAZADA - corregir ambigüedades críticas",IF(D36&gt;0,"APROBADA CON OBSERVACIONES - aclarar pendientes","APROBADA - lista para BDD"))</f>
        <v>APROBADA CON OBSERVACIONES - aclarar pendientes</v>
      </c>
      <c r="E37" s="40"/>
      <c r="F37" s="40"/>
      <c r="G37" s="40"/>
    </row>
  </sheetData>
  <mergeCells count="13">
    <mergeCell ref="B2:G2"/>
    <mergeCell ref="B3:C3"/>
    <mergeCell ref="E3:F3"/>
    <mergeCell ref="B4:G4"/>
    <mergeCell ref="B5:G5"/>
    <mergeCell ref="B8:G8"/>
    <mergeCell ref="B14:G14"/>
    <mergeCell ref="B21:G21"/>
    <mergeCell ref="B27:G27"/>
    <mergeCell ref="B35:C35"/>
    <mergeCell ref="B36:C36"/>
    <mergeCell ref="B37:C37"/>
    <mergeCell ref="D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34"/>
  </cols>
  <sheetData>
    <row r="2" customFormat="false" ht="33.75" hidden="false" customHeight="true" outlineLevel="0" collapsed="false">
      <c r="B2" s="14" t="s">
        <v>66</v>
      </c>
      <c r="C2" s="14"/>
      <c r="D2" s="14"/>
      <c r="E2" s="14"/>
      <c r="F2" s="14"/>
      <c r="G2" s="14"/>
    </row>
    <row r="3" customFormat="false" ht="15" hidden="false" customHeight="true" outlineLevel="0" collapsed="false">
      <c r="B3" s="28" t="s">
        <v>67</v>
      </c>
      <c r="C3" s="28"/>
      <c r="D3" s="29" t="s">
        <v>220</v>
      </c>
      <c r="E3" s="28" t="s">
        <v>69</v>
      </c>
      <c r="F3" s="28"/>
      <c r="G3" s="29" t="s">
        <v>5</v>
      </c>
    </row>
    <row r="4" customFormat="false" ht="15" hidden="false" customHeight="true" outlineLevel="0" collapsed="false">
      <c r="B4" s="28" t="s">
        <v>70</v>
      </c>
      <c r="C4" s="28"/>
      <c r="D4" s="28"/>
      <c r="E4" s="28"/>
      <c r="F4" s="28"/>
      <c r="G4" s="28"/>
    </row>
    <row r="5" customFormat="false" ht="30" hidden="false" customHeight="true" outlineLevel="0" collapsed="false">
      <c r="B5" s="30" t="s">
        <v>221</v>
      </c>
      <c r="C5" s="30"/>
      <c r="D5" s="30"/>
      <c r="E5" s="30"/>
      <c r="F5" s="30"/>
      <c r="G5" s="30"/>
    </row>
    <row r="7" customFormat="false" ht="24" hidden="false" customHeight="true" outlineLevel="0" collapsed="false">
      <c r="B7" s="22" t="s">
        <v>72</v>
      </c>
      <c r="C7" s="22" t="s">
        <v>73</v>
      </c>
      <c r="D7" s="22" t="s">
        <v>74</v>
      </c>
      <c r="E7" s="22" t="s">
        <v>75</v>
      </c>
      <c r="F7" s="22" t="s">
        <v>76</v>
      </c>
      <c r="G7" s="22" t="s">
        <v>77</v>
      </c>
    </row>
    <row r="8" customFormat="false" ht="21.75" hidden="false" customHeight="true" outlineLevel="0" collapsed="false">
      <c r="B8" s="31" t="s">
        <v>78</v>
      </c>
      <c r="C8" s="31"/>
      <c r="D8" s="31"/>
      <c r="E8" s="31"/>
      <c r="F8" s="31"/>
      <c r="G8" s="31"/>
    </row>
    <row r="9" customFormat="false" ht="33.75" hidden="false" customHeight="true" outlineLevel="0" collapsed="false">
      <c r="B9" s="32" t="n">
        <v>1</v>
      </c>
      <c r="C9" s="33" t="s">
        <v>79</v>
      </c>
      <c r="D9" s="27" t="s">
        <v>80</v>
      </c>
      <c r="E9" s="32" t="s">
        <v>24</v>
      </c>
      <c r="F9" s="27"/>
      <c r="G9" s="27"/>
    </row>
    <row r="10" customFormat="false" ht="33.75" hidden="false" customHeight="true" outlineLevel="0" collapsed="false">
      <c r="B10" s="32" t="n">
        <v>2</v>
      </c>
      <c r="C10" s="33" t="s">
        <v>81</v>
      </c>
      <c r="D10" s="27" t="s">
        <v>82</v>
      </c>
      <c r="E10" s="32" t="s">
        <v>28</v>
      </c>
      <c r="F10" s="27" t="s">
        <v>83</v>
      </c>
      <c r="G10" s="27" t="s">
        <v>84</v>
      </c>
    </row>
    <row r="11" customFormat="false" ht="33.75" hidden="false" customHeight="true" outlineLevel="0" collapsed="false">
      <c r="B11" s="32" t="n">
        <v>3</v>
      </c>
      <c r="C11" s="33" t="s">
        <v>85</v>
      </c>
      <c r="D11" s="27" t="s">
        <v>86</v>
      </c>
      <c r="E11" s="32" t="s">
        <v>24</v>
      </c>
      <c r="F11" s="27"/>
      <c r="G11" s="27"/>
    </row>
    <row r="12" customFormat="false" ht="33.75" hidden="false" customHeight="true" outlineLevel="0" collapsed="false">
      <c r="B12" s="32" t="n">
        <v>4</v>
      </c>
      <c r="C12" s="33" t="s">
        <v>87</v>
      </c>
      <c r="D12" s="27" t="s">
        <v>88</v>
      </c>
      <c r="E12" s="32" t="s">
        <v>24</v>
      </c>
      <c r="F12" s="27"/>
      <c r="G12" s="27"/>
    </row>
    <row r="13" customFormat="false" ht="33.75" hidden="false" customHeight="true" outlineLevel="0" collapsed="false">
      <c r="B13" s="32" t="n">
        <v>5</v>
      </c>
      <c r="C13" s="33" t="s">
        <v>89</v>
      </c>
      <c r="D13" s="27" t="s">
        <v>90</v>
      </c>
      <c r="E13" s="32" t="s">
        <v>24</v>
      </c>
      <c r="F13" s="27"/>
      <c r="G13" s="27"/>
    </row>
    <row r="14" customFormat="false" ht="21.75" hidden="false" customHeight="true" outlineLevel="0" collapsed="false">
      <c r="B14" s="34" t="s">
        <v>91</v>
      </c>
      <c r="C14" s="34"/>
      <c r="D14" s="34"/>
      <c r="E14" s="34"/>
      <c r="F14" s="34"/>
      <c r="G14" s="34"/>
    </row>
    <row r="15" customFormat="false" ht="33.75" hidden="false" customHeight="true" outlineLevel="0" collapsed="false">
      <c r="B15" s="32" t="n">
        <v>6</v>
      </c>
      <c r="C15" s="33" t="s">
        <v>92</v>
      </c>
      <c r="D15" s="27" t="s">
        <v>93</v>
      </c>
      <c r="E15" s="32" t="s">
        <v>24</v>
      </c>
      <c r="F15" s="27"/>
      <c r="G15" s="27"/>
    </row>
    <row r="16" customFormat="false" ht="33.75" hidden="false" customHeight="true" outlineLevel="0" collapsed="false">
      <c r="B16" s="32" t="n">
        <v>7</v>
      </c>
      <c r="C16" s="33" t="s">
        <v>94</v>
      </c>
      <c r="D16" s="27" t="s">
        <v>95</v>
      </c>
      <c r="E16" s="32" t="s">
        <v>24</v>
      </c>
      <c r="F16" s="27"/>
      <c r="G16" s="27"/>
    </row>
    <row r="17" customFormat="false" ht="33.75" hidden="false" customHeight="true" outlineLevel="0" collapsed="false">
      <c r="B17" s="32" t="n">
        <v>8</v>
      </c>
      <c r="C17" s="33" t="s">
        <v>96</v>
      </c>
      <c r="D17" s="27" t="s">
        <v>97</v>
      </c>
      <c r="E17" s="32" t="s">
        <v>24</v>
      </c>
      <c r="F17" s="27"/>
      <c r="G17" s="27"/>
    </row>
    <row r="18" customFormat="false" ht="33.75" hidden="false" customHeight="true" outlineLevel="0" collapsed="false">
      <c r="B18" s="32" t="n">
        <v>9</v>
      </c>
      <c r="C18" s="33" t="s">
        <v>98</v>
      </c>
      <c r="D18" s="27" t="s">
        <v>99</v>
      </c>
      <c r="E18" s="32" t="s">
        <v>24</v>
      </c>
      <c r="F18" s="27"/>
      <c r="G18" s="27"/>
    </row>
    <row r="19" customFormat="false" ht="33.75" hidden="false" customHeight="true" outlineLevel="0" collapsed="false">
      <c r="B19" s="32" t="n">
        <v>10</v>
      </c>
      <c r="C19" s="33" t="s">
        <v>100</v>
      </c>
      <c r="D19" s="27" t="s">
        <v>101</v>
      </c>
      <c r="E19" s="32" t="s">
        <v>24</v>
      </c>
      <c r="F19" s="27"/>
      <c r="G19" s="27"/>
    </row>
    <row r="20" customFormat="false" ht="33.75" hidden="false" customHeight="true" outlineLevel="0" collapsed="false">
      <c r="B20" s="32" t="n">
        <v>11</v>
      </c>
      <c r="C20" s="33" t="s">
        <v>102</v>
      </c>
      <c r="D20" s="27" t="s">
        <v>103</v>
      </c>
      <c r="E20" s="32" t="s">
        <v>24</v>
      </c>
      <c r="F20" s="27"/>
      <c r="G20" s="27"/>
    </row>
    <row r="21" customFormat="false" ht="21.75" hidden="false" customHeight="true" outlineLevel="0" collapsed="false">
      <c r="B21" s="35" t="s">
        <v>104</v>
      </c>
      <c r="C21" s="35"/>
      <c r="D21" s="35"/>
      <c r="E21" s="35"/>
      <c r="F21" s="35"/>
      <c r="G21" s="35"/>
    </row>
    <row r="22" customFormat="false" ht="33.75" hidden="false" customHeight="true" outlineLevel="0" collapsed="false">
      <c r="B22" s="32" t="n">
        <v>12</v>
      </c>
      <c r="C22" s="33" t="s">
        <v>105</v>
      </c>
      <c r="D22" s="27" t="s">
        <v>106</v>
      </c>
      <c r="E22" s="32" t="s">
        <v>24</v>
      </c>
      <c r="F22" s="27"/>
      <c r="G22" s="27"/>
    </row>
    <row r="23" customFormat="false" ht="33.75" hidden="false" customHeight="true" outlineLevel="0" collapsed="false">
      <c r="B23" s="32" t="n">
        <v>13</v>
      </c>
      <c r="C23" s="33" t="s">
        <v>107</v>
      </c>
      <c r="D23" s="27" t="s">
        <v>108</v>
      </c>
      <c r="E23" s="32" t="s">
        <v>24</v>
      </c>
      <c r="F23" s="27"/>
      <c r="G23" s="27"/>
    </row>
    <row r="24" customFormat="false" ht="33.75" hidden="false" customHeight="true" outlineLevel="0" collapsed="false">
      <c r="B24" s="32" t="n">
        <v>14</v>
      </c>
      <c r="C24" s="33" t="s">
        <v>109</v>
      </c>
      <c r="D24" s="27" t="s">
        <v>110</v>
      </c>
      <c r="E24" s="32" t="s">
        <v>30</v>
      </c>
      <c r="F24" s="27"/>
      <c r="G24" s="27"/>
    </row>
    <row r="25" customFormat="false" ht="33.75" hidden="false" customHeight="true" outlineLevel="0" collapsed="false">
      <c r="B25" s="32" t="n">
        <v>15</v>
      </c>
      <c r="C25" s="33" t="s">
        <v>111</v>
      </c>
      <c r="D25" s="27" t="s">
        <v>112</v>
      </c>
      <c r="E25" s="32" t="s">
        <v>30</v>
      </c>
      <c r="F25" s="27"/>
      <c r="G25" s="27"/>
    </row>
    <row r="26" customFormat="false" ht="33.75" hidden="false" customHeight="true" outlineLevel="0" collapsed="false">
      <c r="B26" s="32" t="n">
        <v>16</v>
      </c>
      <c r="C26" s="33" t="s">
        <v>113</v>
      </c>
      <c r="D26" s="27" t="s">
        <v>114</v>
      </c>
      <c r="E26" s="32" t="s">
        <v>28</v>
      </c>
      <c r="F26" s="27" t="s">
        <v>222</v>
      </c>
      <c r="G26" s="27" t="s">
        <v>223</v>
      </c>
    </row>
    <row r="27" customFormat="false" ht="21.75" hidden="false" customHeight="true" outlineLevel="0" collapsed="false">
      <c r="B27" s="36" t="s">
        <v>117</v>
      </c>
      <c r="C27" s="36"/>
      <c r="D27" s="36"/>
      <c r="E27" s="36"/>
      <c r="F27" s="36"/>
      <c r="G27" s="36"/>
    </row>
    <row r="28" customFormat="false" ht="33.75" hidden="false" customHeight="true" outlineLevel="0" collapsed="false">
      <c r="B28" s="32" t="n">
        <v>17</v>
      </c>
      <c r="C28" s="33" t="s">
        <v>118</v>
      </c>
      <c r="D28" s="27" t="s">
        <v>119</v>
      </c>
      <c r="E28" s="32" t="s">
        <v>24</v>
      </c>
      <c r="F28" s="27" t="s">
        <v>224</v>
      </c>
      <c r="G28" s="27"/>
    </row>
    <row r="29" customFormat="false" ht="33.75" hidden="false" customHeight="true" outlineLevel="0" collapsed="false">
      <c r="B29" s="32" t="n">
        <v>18</v>
      </c>
      <c r="C29" s="33" t="s">
        <v>122</v>
      </c>
      <c r="D29" s="27" t="s">
        <v>123</v>
      </c>
      <c r="E29" s="32" t="s">
        <v>24</v>
      </c>
      <c r="F29" s="27"/>
      <c r="G29" s="27"/>
    </row>
    <row r="30" customFormat="false" ht="33.75" hidden="false" customHeight="true" outlineLevel="0" collapsed="false">
      <c r="B30" s="32" t="n">
        <v>19</v>
      </c>
      <c r="C30" s="33" t="s">
        <v>124</v>
      </c>
      <c r="D30" s="27" t="s">
        <v>125</v>
      </c>
      <c r="E30" s="32" t="s">
        <v>30</v>
      </c>
      <c r="F30" s="27"/>
      <c r="G30" s="27"/>
    </row>
    <row r="31" customFormat="false" ht="33.75" hidden="false" customHeight="true" outlineLevel="0" collapsed="false">
      <c r="B31" s="32" t="n">
        <v>20</v>
      </c>
      <c r="C31" s="33" t="s">
        <v>126</v>
      </c>
      <c r="D31" s="27" t="s">
        <v>127</v>
      </c>
      <c r="E31" s="32" t="s">
        <v>24</v>
      </c>
      <c r="F31" s="27"/>
      <c r="G31" s="27"/>
    </row>
    <row r="32" customFormat="false" ht="33.75" hidden="false" customHeight="true" outlineLevel="0" collapsed="false">
      <c r="B32" s="32" t="n">
        <v>21</v>
      </c>
      <c r="C32" s="33" t="s">
        <v>128</v>
      </c>
      <c r="D32" s="27" t="s">
        <v>129</v>
      </c>
      <c r="E32" s="32" t="s">
        <v>28</v>
      </c>
      <c r="F32" s="27" t="s">
        <v>130</v>
      </c>
      <c r="G32" s="27" t="s">
        <v>131</v>
      </c>
    </row>
    <row r="33" customFormat="false" ht="33.75" hidden="false" customHeight="true" outlineLevel="0" collapsed="false">
      <c r="B33" s="32" t="n">
        <v>22</v>
      </c>
      <c r="C33" s="33" t="s">
        <v>132</v>
      </c>
      <c r="D33" s="27" t="s">
        <v>133</v>
      </c>
      <c r="E33" s="32" t="s">
        <v>24</v>
      </c>
      <c r="F33" s="27"/>
      <c r="G33" s="27"/>
    </row>
    <row r="35" customFormat="false" ht="15" hidden="false" customHeight="true" outlineLevel="0" collapsed="false">
      <c r="B35" s="28" t="s">
        <v>134</v>
      </c>
      <c r="C35" s="28"/>
      <c r="D35" s="37" t="n">
        <f aca="false">COUNTIF(E8:E33,"✗ No cumple")</f>
        <v>0</v>
      </c>
    </row>
    <row r="36" customFormat="false" ht="15" hidden="false" customHeight="true" outlineLevel="0" collapsed="false">
      <c r="B36" s="28" t="s">
        <v>135</v>
      </c>
      <c r="C36" s="28"/>
      <c r="D36" s="38" t="n">
        <f aca="false">COUNTIF(E8:E33,"⚠ Revisar")</f>
        <v>3</v>
      </c>
    </row>
    <row r="37" customFormat="false" ht="24" hidden="false" customHeight="true" outlineLevel="0" collapsed="false">
      <c r="B37" s="39" t="s">
        <v>136</v>
      </c>
      <c r="C37" s="39"/>
      <c r="D37" s="40" t="str">
        <f aca="false">IF(D35&gt;0,"RECHAZADA - corregir ambigüedades críticas",IF(D36&gt;0,"APROBADA CON OBSERVACIONES - aclarar pendientes","APROBADA - lista para BDD"))</f>
        <v>APROBADA CON OBSERVACIONES - aclarar pendientes</v>
      </c>
      <c r="E37" s="40"/>
      <c r="F37" s="40"/>
      <c r="G37" s="40"/>
    </row>
  </sheetData>
  <mergeCells count="13">
    <mergeCell ref="B2:G2"/>
    <mergeCell ref="B3:C3"/>
    <mergeCell ref="E3:F3"/>
    <mergeCell ref="B4:G4"/>
    <mergeCell ref="B5:G5"/>
    <mergeCell ref="B8:G8"/>
    <mergeCell ref="B14:G14"/>
    <mergeCell ref="B21:G21"/>
    <mergeCell ref="B27:G27"/>
    <mergeCell ref="B35:C35"/>
    <mergeCell ref="B36:C36"/>
    <mergeCell ref="B37:C37"/>
    <mergeCell ref="D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34"/>
  </cols>
  <sheetData>
    <row r="2" customFormat="false" ht="33.75" hidden="false" customHeight="true" outlineLevel="0" collapsed="false">
      <c r="B2" s="14" t="s">
        <v>66</v>
      </c>
      <c r="C2" s="14"/>
      <c r="D2" s="14"/>
      <c r="E2" s="14"/>
      <c r="F2" s="14"/>
      <c r="G2" s="14"/>
    </row>
    <row r="3" customFormat="false" ht="15" hidden="false" customHeight="true" outlineLevel="0" collapsed="false">
      <c r="B3" s="28" t="s">
        <v>67</v>
      </c>
      <c r="C3" s="28"/>
      <c r="D3" s="29" t="s">
        <v>225</v>
      </c>
      <c r="E3" s="28" t="s">
        <v>69</v>
      </c>
      <c r="F3" s="28"/>
      <c r="G3" s="29" t="s">
        <v>5</v>
      </c>
    </row>
    <row r="4" customFormat="false" ht="15" hidden="false" customHeight="true" outlineLevel="0" collapsed="false">
      <c r="B4" s="28" t="s">
        <v>70</v>
      </c>
      <c r="C4" s="28"/>
      <c r="D4" s="28"/>
      <c r="E4" s="28"/>
      <c r="F4" s="28"/>
      <c r="G4" s="28"/>
    </row>
    <row r="5" customFormat="false" ht="30" hidden="false" customHeight="true" outlineLevel="0" collapsed="false">
      <c r="B5" s="30" t="s">
        <v>226</v>
      </c>
      <c r="C5" s="30"/>
      <c r="D5" s="30"/>
      <c r="E5" s="30"/>
      <c r="F5" s="30"/>
      <c r="G5" s="30"/>
    </row>
    <row r="7" customFormat="false" ht="24" hidden="false" customHeight="true" outlineLevel="0" collapsed="false">
      <c r="B7" s="22" t="s">
        <v>72</v>
      </c>
      <c r="C7" s="22" t="s">
        <v>73</v>
      </c>
      <c r="D7" s="22" t="s">
        <v>74</v>
      </c>
      <c r="E7" s="22" t="s">
        <v>75</v>
      </c>
      <c r="F7" s="22" t="s">
        <v>76</v>
      </c>
      <c r="G7" s="22" t="s">
        <v>77</v>
      </c>
    </row>
    <row r="8" customFormat="false" ht="21.75" hidden="false" customHeight="true" outlineLevel="0" collapsed="false">
      <c r="B8" s="31" t="s">
        <v>78</v>
      </c>
      <c r="C8" s="31"/>
      <c r="D8" s="31"/>
      <c r="E8" s="31"/>
      <c r="F8" s="31"/>
      <c r="G8" s="31"/>
    </row>
    <row r="9" customFormat="false" ht="33.75" hidden="false" customHeight="true" outlineLevel="0" collapsed="false">
      <c r="B9" s="32" t="n">
        <v>1</v>
      </c>
      <c r="C9" s="33" t="s">
        <v>79</v>
      </c>
      <c r="D9" s="27" t="s">
        <v>80</v>
      </c>
      <c r="E9" s="32" t="s">
        <v>24</v>
      </c>
      <c r="F9" s="27"/>
      <c r="G9" s="27"/>
    </row>
    <row r="10" customFormat="false" ht="33.75" hidden="false" customHeight="true" outlineLevel="0" collapsed="false">
      <c r="B10" s="32" t="n">
        <v>2</v>
      </c>
      <c r="C10" s="33" t="s">
        <v>81</v>
      </c>
      <c r="D10" s="27" t="s">
        <v>82</v>
      </c>
      <c r="E10" s="32" t="s">
        <v>28</v>
      </c>
      <c r="F10" s="27" t="s">
        <v>83</v>
      </c>
      <c r="G10" s="27" t="s">
        <v>84</v>
      </c>
    </row>
    <row r="11" customFormat="false" ht="33.75" hidden="false" customHeight="true" outlineLevel="0" collapsed="false">
      <c r="B11" s="32" t="n">
        <v>3</v>
      </c>
      <c r="C11" s="33" t="s">
        <v>85</v>
      </c>
      <c r="D11" s="27" t="s">
        <v>86</v>
      </c>
      <c r="E11" s="32" t="s">
        <v>24</v>
      </c>
      <c r="F11" s="27"/>
      <c r="G11" s="27"/>
    </row>
    <row r="12" customFormat="false" ht="33.75" hidden="false" customHeight="true" outlineLevel="0" collapsed="false">
      <c r="B12" s="32" t="n">
        <v>4</v>
      </c>
      <c r="C12" s="33" t="s">
        <v>87</v>
      </c>
      <c r="D12" s="27" t="s">
        <v>88</v>
      </c>
      <c r="E12" s="32" t="s">
        <v>24</v>
      </c>
      <c r="F12" s="27"/>
      <c r="G12" s="27"/>
    </row>
    <row r="13" customFormat="false" ht="33.75" hidden="false" customHeight="true" outlineLevel="0" collapsed="false">
      <c r="B13" s="32" t="n">
        <v>5</v>
      </c>
      <c r="C13" s="33" t="s">
        <v>89</v>
      </c>
      <c r="D13" s="27" t="s">
        <v>90</v>
      </c>
      <c r="E13" s="32" t="s">
        <v>24</v>
      </c>
      <c r="F13" s="27"/>
      <c r="G13" s="27"/>
    </row>
    <row r="14" customFormat="false" ht="21.75" hidden="false" customHeight="true" outlineLevel="0" collapsed="false">
      <c r="B14" s="34" t="s">
        <v>91</v>
      </c>
      <c r="C14" s="34"/>
      <c r="D14" s="34"/>
      <c r="E14" s="34"/>
      <c r="F14" s="34"/>
      <c r="G14" s="34"/>
    </row>
    <row r="15" customFormat="false" ht="33.75" hidden="false" customHeight="true" outlineLevel="0" collapsed="false">
      <c r="B15" s="32" t="n">
        <v>6</v>
      </c>
      <c r="C15" s="33" t="s">
        <v>92</v>
      </c>
      <c r="D15" s="27" t="s">
        <v>93</v>
      </c>
      <c r="E15" s="32" t="s">
        <v>24</v>
      </c>
      <c r="F15" s="27"/>
      <c r="G15" s="27"/>
    </row>
    <row r="16" customFormat="false" ht="33.75" hidden="false" customHeight="true" outlineLevel="0" collapsed="false">
      <c r="B16" s="32" t="n">
        <v>7</v>
      </c>
      <c r="C16" s="33" t="s">
        <v>94</v>
      </c>
      <c r="D16" s="27" t="s">
        <v>95</v>
      </c>
      <c r="E16" s="32" t="s">
        <v>24</v>
      </c>
      <c r="F16" s="27"/>
      <c r="G16" s="27"/>
    </row>
    <row r="17" customFormat="false" ht="33.75" hidden="false" customHeight="true" outlineLevel="0" collapsed="false">
      <c r="B17" s="32" t="n">
        <v>8</v>
      </c>
      <c r="C17" s="33" t="s">
        <v>96</v>
      </c>
      <c r="D17" s="27" t="s">
        <v>97</v>
      </c>
      <c r="E17" s="32" t="s">
        <v>24</v>
      </c>
      <c r="F17" s="27"/>
      <c r="G17" s="27"/>
    </row>
    <row r="18" customFormat="false" ht="33.75" hidden="false" customHeight="true" outlineLevel="0" collapsed="false">
      <c r="B18" s="32" t="n">
        <v>9</v>
      </c>
      <c r="C18" s="33" t="s">
        <v>98</v>
      </c>
      <c r="D18" s="27" t="s">
        <v>99</v>
      </c>
      <c r="E18" s="32" t="s">
        <v>24</v>
      </c>
      <c r="F18" s="27"/>
      <c r="G18" s="27"/>
    </row>
    <row r="19" customFormat="false" ht="33.75" hidden="false" customHeight="true" outlineLevel="0" collapsed="false">
      <c r="B19" s="32" t="n">
        <v>10</v>
      </c>
      <c r="C19" s="33" t="s">
        <v>100</v>
      </c>
      <c r="D19" s="27" t="s">
        <v>101</v>
      </c>
      <c r="E19" s="32" t="s">
        <v>24</v>
      </c>
      <c r="F19" s="27"/>
      <c r="G19" s="27"/>
    </row>
    <row r="20" customFormat="false" ht="33.75" hidden="false" customHeight="true" outlineLevel="0" collapsed="false">
      <c r="B20" s="32" t="n">
        <v>11</v>
      </c>
      <c r="C20" s="33" t="s">
        <v>102</v>
      </c>
      <c r="D20" s="27" t="s">
        <v>103</v>
      </c>
      <c r="E20" s="32" t="s">
        <v>24</v>
      </c>
      <c r="F20" s="27"/>
      <c r="G20" s="27"/>
    </row>
    <row r="21" customFormat="false" ht="21.75" hidden="false" customHeight="true" outlineLevel="0" collapsed="false">
      <c r="B21" s="35" t="s">
        <v>104</v>
      </c>
      <c r="C21" s="35"/>
      <c r="D21" s="35"/>
      <c r="E21" s="35"/>
      <c r="F21" s="35"/>
      <c r="G21" s="35"/>
    </row>
    <row r="22" customFormat="false" ht="33.75" hidden="false" customHeight="true" outlineLevel="0" collapsed="false">
      <c r="B22" s="32" t="n">
        <v>12</v>
      </c>
      <c r="C22" s="33" t="s">
        <v>105</v>
      </c>
      <c r="D22" s="27" t="s">
        <v>106</v>
      </c>
      <c r="E22" s="32" t="s">
        <v>24</v>
      </c>
      <c r="F22" s="27"/>
      <c r="G22" s="27"/>
    </row>
    <row r="23" customFormat="false" ht="33.75" hidden="false" customHeight="true" outlineLevel="0" collapsed="false">
      <c r="B23" s="32" t="n">
        <v>13</v>
      </c>
      <c r="C23" s="33" t="s">
        <v>107</v>
      </c>
      <c r="D23" s="27" t="s">
        <v>108</v>
      </c>
      <c r="E23" s="32" t="s">
        <v>24</v>
      </c>
      <c r="F23" s="27"/>
      <c r="G23" s="27"/>
    </row>
    <row r="24" customFormat="false" ht="33.75" hidden="false" customHeight="true" outlineLevel="0" collapsed="false">
      <c r="B24" s="32" t="n">
        <v>14</v>
      </c>
      <c r="C24" s="33" t="s">
        <v>109</v>
      </c>
      <c r="D24" s="27" t="s">
        <v>110</v>
      </c>
      <c r="E24" s="32" t="s">
        <v>28</v>
      </c>
      <c r="F24" s="27" t="s">
        <v>227</v>
      </c>
      <c r="G24" s="27" t="s">
        <v>228</v>
      </c>
    </row>
    <row r="25" customFormat="false" ht="33.75" hidden="false" customHeight="true" outlineLevel="0" collapsed="false">
      <c r="B25" s="32" t="n">
        <v>15</v>
      </c>
      <c r="C25" s="33" t="s">
        <v>111</v>
      </c>
      <c r="D25" s="27" t="s">
        <v>112</v>
      </c>
      <c r="E25" s="32" t="s">
        <v>24</v>
      </c>
      <c r="F25" s="27" t="s">
        <v>229</v>
      </c>
      <c r="G25" s="27"/>
    </row>
    <row r="26" customFormat="false" ht="33.75" hidden="false" customHeight="true" outlineLevel="0" collapsed="false">
      <c r="B26" s="32" t="n">
        <v>16</v>
      </c>
      <c r="C26" s="33" t="s">
        <v>113</v>
      </c>
      <c r="D26" s="27" t="s">
        <v>114</v>
      </c>
      <c r="E26" s="32" t="s">
        <v>28</v>
      </c>
      <c r="F26" s="27" t="s">
        <v>230</v>
      </c>
      <c r="G26" s="27" t="s">
        <v>231</v>
      </c>
    </row>
    <row r="27" customFormat="false" ht="21.75" hidden="false" customHeight="true" outlineLevel="0" collapsed="false">
      <c r="B27" s="36" t="s">
        <v>117</v>
      </c>
      <c r="C27" s="36"/>
      <c r="D27" s="36"/>
      <c r="E27" s="36"/>
      <c r="F27" s="36"/>
      <c r="G27" s="36"/>
    </row>
    <row r="28" customFormat="false" ht="33.75" hidden="false" customHeight="true" outlineLevel="0" collapsed="false">
      <c r="B28" s="32" t="n">
        <v>17</v>
      </c>
      <c r="C28" s="33" t="s">
        <v>118</v>
      </c>
      <c r="D28" s="27" t="s">
        <v>119</v>
      </c>
      <c r="E28" s="32" t="s">
        <v>24</v>
      </c>
      <c r="F28" s="27" t="s">
        <v>232</v>
      </c>
      <c r="G28" s="27"/>
    </row>
    <row r="29" customFormat="false" ht="33.75" hidden="false" customHeight="true" outlineLevel="0" collapsed="false">
      <c r="B29" s="32" t="n">
        <v>18</v>
      </c>
      <c r="C29" s="33" t="s">
        <v>122</v>
      </c>
      <c r="D29" s="27" t="s">
        <v>123</v>
      </c>
      <c r="E29" s="32" t="s">
        <v>24</v>
      </c>
      <c r="F29" s="27"/>
      <c r="G29" s="27"/>
    </row>
    <row r="30" customFormat="false" ht="33.75" hidden="false" customHeight="true" outlineLevel="0" collapsed="false">
      <c r="B30" s="32" t="n">
        <v>19</v>
      </c>
      <c r="C30" s="33" t="s">
        <v>124</v>
      </c>
      <c r="D30" s="27" t="s">
        <v>125</v>
      </c>
      <c r="E30" s="32" t="s">
        <v>30</v>
      </c>
      <c r="F30" s="27"/>
      <c r="G30" s="27"/>
    </row>
    <row r="31" customFormat="false" ht="33.75" hidden="false" customHeight="true" outlineLevel="0" collapsed="false">
      <c r="B31" s="32" t="n">
        <v>20</v>
      </c>
      <c r="C31" s="33" t="s">
        <v>126</v>
      </c>
      <c r="D31" s="27" t="s">
        <v>127</v>
      </c>
      <c r="E31" s="32" t="s">
        <v>24</v>
      </c>
      <c r="F31" s="27"/>
      <c r="G31" s="27"/>
    </row>
    <row r="32" customFormat="false" ht="33.75" hidden="false" customHeight="true" outlineLevel="0" collapsed="false">
      <c r="B32" s="32" t="n">
        <v>21</v>
      </c>
      <c r="C32" s="33" t="s">
        <v>128</v>
      </c>
      <c r="D32" s="27" t="s">
        <v>129</v>
      </c>
      <c r="E32" s="32" t="s">
        <v>28</v>
      </c>
      <c r="F32" s="27" t="s">
        <v>130</v>
      </c>
      <c r="G32" s="27" t="s">
        <v>131</v>
      </c>
    </row>
    <row r="33" customFormat="false" ht="33.75" hidden="false" customHeight="true" outlineLevel="0" collapsed="false">
      <c r="B33" s="32" t="n">
        <v>22</v>
      </c>
      <c r="C33" s="33" t="s">
        <v>132</v>
      </c>
      <c r="D33" s="27" t="s">
        <v>133</v>
      </c>
      <c r="E33" s="32" t="s">
        <v>24</v>
      </c>
      <c r="F33" s="27"/>
      <c r="G33" s="27"/>
    </row>
    <row r="35" customFormat="false" ht="15" hidden="false" customHeight="true" outlineLevel="0" collapsed="false">
      <c r="B35" s="28" t="s">
        <v>134</v>
      </c>
      <c r="C35" s="28"/>
      <c r="D35" s="37" t="n">
        <f aca="false">COUNTIF(E8:E33,"✗ No cumple")</f>
        <v>0</v>
      </c>
    </row>
    <row r="36" customFormat="false" ht="15" hidden="false" customHeight="true" outlineLevel="0" collapsed="false">
      <c r="B36" s="28" t="s">
        <v>135</v>
      </c>
      <c r="C36" s="28"/>
      <c r="D36" s="38" t="n">
        <f aca="false">COUNTIF(E8:E33,"⚠ Revisar")</f>
        <v>4</v>
      </c>
    </row>
    <row r="37" customFormat="false" ht="24" hidden="false" customHeight="true" outlineLevel="0" collapsed="false">
      <c r="B37" s="39" t="s">
        <v>136</v>
      </c>
      <c r="C37" s="39"/>
      <c r="D37" s="40" t="str">
        <f aca="false">IF(D35&gt;0,"RECHAZADA - corregir ambigüedades críticas",IF(D36&gt;0,"APROBADA CON OBSERVACIONES - aclarar pendientes","APROBADA - lista para BDD"))</f>
        <v>APROBADA CON OBSERVACIONES - aclarar pendientes</v>
      </c>
      <c r="E37" s="40"/>
      <c r="F37" s="40"/>
      <c r="G37" s="40"/>
    </row>
  </sheetData>
  <mergeCells count="13">
    <mergeCell ref="B2:G2"/>
    <mergeCell ref="B3:C3"/>
    <mergeCell ref="E3:F3"/>
    <mergeCell ref="B4:G4"/>
    <mergeCell ref="B5:G5"/>
    <mergeCell ref="B8:G8"/>
    <mergeCell ref="B14:G14"/>
    <mergeCell ref="B21:G21"/>
    <mergeCell ref="B27:G27"/>
    <mergeCell ref="B35:C35"/>
    <mergeCell ref="B36:C36"/>
    <mergeCell ref="B37:C37"/>
    <mergeCell ref="D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34"/>
  </cols>
  <sheetData>
    <row r="2" customFormat="false" ht="33.75" hidden="false" customHeight="true" outlineLevel="0" collapsed="false">
      <c r="B2" s="14" t="s">
        <v>66</v>
      </c>
      <c r="C2" s="14"/>
      <c r="D2" s="14"/>
      <c r="E2" s="14"/>
      <c r="F2" s="14"/>
      <c r="G2" s="14"/>
    </row>
    <row r="3" customFormat="false" ht="15" hidden="false" customHeight="true" outlineLevel="0" collapsed="false">
      <c r="B3" s="28" t="s">
        <v>67</v>
      </c>
      <c r="C3" s="28"/>
      <c r="D3" s="29" t="s">
        <v>233</v>
      </c>
      <c r="E3" s="28" t="s">
        <v>69</v>
      </c>
      <c r="F3" s="28"/>
      <c r="G3" s="29" t="s">
        <v>5</v>
      </c>
    </row>
    <row r="4" customFormat="false" ht="15" hidden="false" customHeight="true" outlineLevel="0" collapsed="false">
      <c r="B4" s="28" t="s">
        <v>70</v>
      </c>
      <c r="C4" s="28"/>
      <c r="D4" s="28"/>
      <c r="E4" s="28"/>
      <c r="F4" s="28"/>
      <c r="G4" s="28"/>
    </row>
    <row r="5" customFormat="false" ht="30" hidden="false" customHeight="true" outlineLevel="0" collapsed="false">
      <c r="B5" s="30" t="s">
        <v>234</v>
      </c>
      <c r="C5" s="30"/>
      <c r="D5" s="30"/>
      <c r="E5" s="30"/>
      <c r="F5" s="30"/>
      <c r="G5" s="30"/>
    </row>
    <row r="7" customFormat="false" ht="24" hidden="false" customHeight="true" outlineLevel="0" collapsed="false">
      <c r="B7" s="22" t="s">
        <v>72</v>
      </c>
      <c r="C7" s="22" t="s">
        <v>73</v>
      </c>
      <c r="D7" s="22" t="s">
        <v>74</v>
      </c>
      <c r="E7" s="22" t="s">
        <v>75</v>
      </c>
      <c r="F7" s="22" t="s">
        <v>76</v>
      </c>
      <c r="G7" s="22" t="s">
        <v>77</v>
      </c>
    </row>
    <row r="8" customFormat="false" ht="21.75" hidden="false" customHeight="true" outlineLevel="0" collapsed="false">
      <c r="B8" s="31" t="s">
        <v>78</v>
      </c>
      <c r="C8" s="31"/>
      <c r="D8" s="31"/>
      <c r="E8" s="31"/>
      <c r="F8" s="31"/>
      <c r="G8" s="31"/>
    </row>
    <row r="9" customFormat="false" ht="33.75" hidden="false" customHeight="true" outlineLevel="0" collapsed="false">
      <c r="B9" s="32" t="n">
        <v>1</v>
      </c>
      <c r="C9" s="33" t="s">
        <v>79</v>
      </c>
      <c r="D9" s="27" t="s">
        <v>80</v>
      </c>
      <c r="E9" s="32" t="s">
        <v>24</v>
      </c>
      <c r="F9" s="27"/>
      <c r="G9" s="27"/>
    </row>
    <row r="10" customFormat="false" ht="33.75" hidden="false" customHeight="true" outlineLevel="0" collapsed="false">
      <c r="B10" s="32" t="n">
        <v>2</v>
      </c>
      <c r="C10" s="33" t="s">
        <v>81</v>
      </c>
      <c r="D10" s="27" t="s">
        <v>82</v>
      </c>
      <c r="E10" s="32" t="s">
        <v>28</v>
      </c>
      <c r="F10" s="27" t="s">
        <v>83</v>
      </c>
      <c r="G10" s="27" t="s">
        <v>84</v>
      </c>
    </row>
    <row r="11" customFormat="false" ht="33.75" hidden="false" customHeight="true" outlineLevel="0" collapsed="false">
      <c r="B11" s="32" t="n">
        <v>3</v>
      </c>
      <c r="C11" s="33" t="s">
        <v>85</v>
      </c>
      <c r="D11" s="27" t="s">
        <v>86</v>
      </c>
      <c r="E11" s="32" t="s">
        <v>24</v>
      </c>
      <c r="F11" s="27"/>
      <c r="G11" s="27"/>
    </row>
    <row r="12" customFormat="false" ht="33.75" hidden="false" customHeight="true" outlineLevel="0" collapsed="false">
      <c r="B12" s="32" t="n">
        <v>4</v>
      </c>
      <c r="C12" s="33" t="s">
        <v>87</v>
      </c>
      <c r="D12" s="27" t="s">
        <v>88</v>
      </c>
      <c r="E12" s="32" t="s">
        <v>24</v>
      </c>
      <c r="F12" s="27"/>
      <c r="G12" s="27"/>
    </row>
    <row r="13" customFormat="false" ht="33.75" hidden="false" customHeight="true" outlineLevel="0" collapsed="false">
      <c r="B13" s="32" t="n">
        <v>5</v>
      </c>
      <c r="C13" s="33" t="s">
        <v>89</v>
      </c>
      <c r="D13" s="27" t="s">
        <v>90</v>
      </c>
      <c r="E13" s="32" t="s">
        <v>24</v>
      </c>
      <c r="F13" s="27"/>
      <c r="G13" s="27"/>
    </row>
    <row r="14" customFormat="false" ht="21.75" hidden="false" customHeight="true" outlineLevel="0" collapsed="false">
      <c r="B14" s="34" t="s">
        <v>91</v>
      </c>
      <c r="C14" s="34"/>
      <c r="D14" s="34"/>
      <c r="E14" s="34"/>
      <c r="F14" s="34"/>
      <c r="G14" s="34"/>
    </row>
    <row r="15" customFormat="false" ht="33.75" hidden="false" customHeight="true" outlineLevel="0" collapsed="false">
      <c r="B15" s="32" t="n">
        <v>6</v>
      </c>
      <c r="C15" s="33" t="s">
        <v>92</v>
      </c>
      <c r="D15" s="27" t="s">
        <v>93</v>
      </c>
      <c r="E15" s="32" t="s">
        <v>24</v>
      </c>
      <c r="F15" s="27"/>
      <c r="G15" s="27"/>
    </row>
    <row r="16" customFormat="false" ht="33.75" hidden="false" customHeight="true" outlineLevel="0" collapsed="false">
      <c r="B16" s="32" t="n">
        <v>7</v>
      </c>
      <c r="C16" s="33" t="s">
        <v>94</v>
      </c>
      <c r="D16" s="27" t="s">
        <v>95</v>
      </c>
      <c r="E16" s="32" t="s">
        <v>24</v>
      </c>
      <c r="F16" s="27"/>
      <c r="G16" s="27"/>
    </row>
    <row r="17" customFormat="false" ht="33.75" hidden="false" customHeight="true" outlineLevel="0" collapsed="false">
      <c r="B17" s="32" t="n">
        <v>8</v>
      </c>
      <c r="C17" s="33" t="s">
        <v>96</v>
      </c>
      <c r="D17" s="27" t="s">
        <v>97</v>
      </c>
      <c r="E17" s="32" t="s">
        <v>24</v>
      </c>
      <c r="F17" s="27"/>
      <c r="G17" s="27"/>
    </row>
    <row r="18" customFormat="false" ht="33.75" hidden="false" customHeight="true" outlineLevel="0" collapsed="false">
      <c r="B18" s="32" t="n">
        <v>9</v>
      </c>
      <c r="C18" s="33" t="s">
        <v>98</v>
      </c>
      <c r="D18" s="27" t="s">
        <v>99</v>
      </c>
      <c r="E18" s="32" t="s">
        <v>28</v>
      </c>
      <c r="F18" s="27" t="s">
        <v>235</v>
      </c>
      <c r="G18" s="27" t="s">
        <v>236</v>
      </c>
    </row>
    <row r="19" customFormat="false" ht="33.75" hidden="false" customHeight="true" outlineLevel="0" collapsed="false">
      <c r="B19" s="32" t="n">
        <v>10</v>
      </c>
      <c r="C19" s="33" t="s">
        <v>100</v>
      </c>
      <c r="D19" s="27" t="s">
        <v>101</v>
      </c>
      <c r="E19" s="32" t="s">
        <v>24</v>
      </c>
      <c r="F19" s="27"/>
      <c r="G19" s="27"/>
    </row>
    <row r="20" customFormat="false" ht="33.75" hidden="false" customHeight="true" outlineLevel="0" collapsed="false">
      <c r="B20" s="32" t="n">
        <v>11</v>
      </c>
      <c r="C20" s="33" t="s">
        <v>102</v>
      </c>
      <c r="D20" s="27" t="s">
        <v>103</v>
      </c>
      <c r="E20" s="32" t="s">
        <v>24</v>
      </c>
      <c r="F20" s="27"/>
      <c r="G20" s="27"/>
    </row>
    <row r="21" customFormat="false" ht="21.75" hidden="false" customHeight="true" outlineLevel="0" collapsed="false">
      <c r="B21" s="35" t="s">
        <v>104</v>
      </c>
      <c r="C21" s="35"/>
      <c r="D21" s="35"/>
      <c r="E21" s="35"/>
      <c r="F21" s="35"/>
      <c r="G21" s="35"/>
    </row>
    <row r="22" customFormat="false" ht="33.75" hidden="false" customHeight="true" outlineLevel="0" collapsed="false">
      <c r="B22" s="32" t="n">
        <v>12</v>
      </c>
      <c r="C22" s="33" t="s">
        <v>105</v>
      </c>
      <c r="D22" s="27" t="s">
        <v>106</v>
      </c>
      <c r="E22" s="32" t="s">
        <v>24</v>
      </c>
      <c r="F22" s="27"/>
      <c r="G22" s="27"/>
    </row>
    <row r="23" customFormat="false" ht="33.75" hidden="false" customHeight="true" outlineLevel="0" collapsed="false">
      <c r="B23" s="32" t="n">
        <v>13</v>
      </c>
      <c r="C23" s="33" t="s">
        <v>107</v>
      </c>
      <c r="D23" s="27" t="s">
        <v>108</v>
      </c>
      <c r="E23" s="32" t="s">
        <v>24</v>
      </c>
      <c r="F23" s="27"/>
      <c r="G23" s="27"/>
    </row>
    <row r="24" customFormat="false" ht="33.75" hidden="false" customHeight="true" outlineLevel="0" collapsed="false">
      <c r="B24" s="32" t="n">
        <v>14</v>
      </c>
      <c r="C24" s="33" t="s">
        <v>109</v>
      </c>
      <c r="D24" s="27" t="s">
        <v>110</v>
      </c>
      <c r="E24" s="32" t="s">
        <v>30</v>
      </c>
      <c r="F24" s="27"/>
      <c r="G24" s="27"/>
    </row>
    <row r="25" customFormat="false" ht="33.75" hidden="false" customHeight="true" outlineLevel="0" collapsed="false">
      <c r="B25" s="32" t="n">
        <v>15</v>
      </c>
      <c r="C25" s="33" t="s">
        <v>111</v>
      </c>
      <c r="D25" s="27" t="s">
        <v>112</v>
      </c>
      <c r="E25" s="32" t="s">
        <v>30</v>
      </c>
      <c r="F25" s="27"/>
      <c r="G25" s="27"/>
    </row>
    <row r="26" customFormat="false" ht="33.75" hidden="false" customHeight="true" outlineLevel="0" collapsed="false">
      <c r="B26" s="32" t="n">
        <v>16</v>
      </c>
      <c r="C26" s="33" t="s">
        <v>113</v>
      </c>
      <c r="D26" s="27" t="s">
        <v>114</v>
      </c>
      <c r="E26" s="32" t="s">
        <v>30</v>
      </c>
      <c r="F26" s="27"/>
      <c r="G26" s="27"/>
    </row>
    <row r="27" customFormat="false" ht="21.75" hidden="false" customHeight="true" outlineLevel="0" collapsed="false">
      <c r="B27" s="36" t="s">
        <v>117</v>
      </c>
      <c r="C27" s="36"/>
      <c r="D27" s="36"/>
      <c r="E27" s="36"/>
      <c r="F27" s="36"/>
      <c r="G27" s="36"/>
    </row>
    <row r="28" customFormat="false" ht="33.75" hidden="false" customHeight="true" outlineLevel="0" collapsed="false">
      <c r="B28" s="32" t="n">
        <v>17</v>
      </c>
      <c r="C28" s="33" t="s">
        <v>118</v>
      </c>
      <c r="D28" s="27" t="s">
        <v>119</v>
      </c>
      <c r="E28" s="32" t="s">
        <v>28</v>
      </c>
      <c r="F28" s="27" t="s">
        <v>120</v>
      </c>
      <c r="G28" s="27" t="s">
        <v>121</v>
      </c>
    </row>
    <row r="29" customFormat="false" ht="33.75" hidden="false" customHeight="true" outlineLevel="0" collapsed="false">
      <c r="B29" s="32" t="n">
        <v>18</v>
      </c>
      <c r="C29" s="33" t="s">
        <v>122</v>
      </c>
      <c r="D29" s="27" t="s">
        <v>123</v>
      </c>
      <c r="E29" s="32" t="s">
        <v>24</v>
      </c>
      <c r="F29" s="27"/>
      <c r="G29" s="27"/>
    </row>
    <row r="30" customFormat="false" ht="33.75" hidden="false" customHeight="true" outlineLevel="0" collapsed="false">
      <c r="B30" s="32" t="n">
        <v>19</v>
      </c>
      <c r="C30" s="33" t="s">
        <v>124</v>
      </c>
      <c r="D30" s="27" t="s">
        <v>125</v>
      </c>
      <c r="E30" s="32" t="s">
        <v>28</v>
      </c>
      <c r="F30" s="27" t="s">
        <v>237</v>
      </c>
      <c r="G30" s="27" t="s">
        <v>238</v>
      </c>
    </row>
    <row r="31" customFormat="false" ht="33.75" hidden="false" customHeight="true" outlineLevel="0" collapsed="false">
      <c r="B31" s="32" t="n">
        <v>20</v>
      </c>
      <c r="C31" s="33" t="s">
        <v>126</v>
      </c>
      <c r="D31" s="27" t="s">
        <v>127</v>
      </c>
      <c r="E31" s="32" t="s">
        <v>24</v>
      </c>
      <c r="F31" s="27"/>
      <c r="G31" s="27"/>
    </row>
    <row r="32" customFormat="false" ht="33.75" hidden="false" customHeight="true" outlineLevel="0" collapsed="false">
      <c r="B32" s="32" t="n">
        <v>21</v>
      </c>
      <c r="C32" s="33" t="s">
        <v>128</v>
      </c>
      <c r="D32" s="27" t="s">
        <v>129</v>
      </c>
      <c r="E32" s="32" t="s">
        <v>28</v>
      </c>
      <c r="F32" s="27" t="s">
        <v>130</v>
      </c>
      <c r="G32" s="27" t="s">
        <v>131</v>
      </c>
    </row>
    <row r="33" customFormat="false" ht="33.75" hidden="false" customHeight="true" outlineLevel="0" collapsed="false">
      <c r="B33" s="32" t="n">
        <v>22</v>
      </c>
      <c r="C33" s="33" t="s">
        <v>132</v>
      </c>
      <c r="D33" s="27" t="s">
        <v>133</v>
      </c>
      <c r="E33" s="32" t="s">
        <v>24</v>
      </c>
      <c r="F33" s="27"/>
      <c r="G33" s="27"/>
    </row>
    <row r="35" customFormat="false" ht="15" hidden="false" customHeight="true" outlineLevel="0" collapsed="false">
      <c r="B35" s="28" t="s">
        <v>134</v>
      </c>
      <c r="C35" s="28"/>
      <c r="D35" s="37" t="n">
        <f aca="false">COUNTIF(E8:E33,"✗ No cumple")</f>
        <v>0</v>
      </c>
    </row>
    <row r="36" customFormat="false" ht="15" hidden="false" customHeight="true" outlineLevel="0" collapsed="false">
      <c r="B36" s="28" t="s">
        <v>135</v>
      </c>
      <c r="C36" s="28"/>
      <c r="D36" s="38" t="n">
        <f aca="false">COUNTIF(E8:E33,"⚠ Revisar")</f>
        <v>5</v>
      </c>
    </row>
    <row r="37" customFormat="false" ht="24" hidden="false" customHeight="true" outlineLevel="0" collapsed="false">
      <c r="B37" s="39" t="s">
        <v>136</v>
      </c>
      <c r="C37" s="39"/>
      <c r="D37" s="40" t="str">
        <f aca="false">IF(D35&gt;0,"RECHAZADA - corregir ambigüedades críticas",IF(D36&gt;0,"APROBADA CON OBSERVACIONES - aclarar pendientes","APROBADA - lista para BDD"))</f>
        <v>APROBADA CON OBSERVACIONES - aclarar pendientes</v>
      </c>
      <c r="E37" s="40"/>
      <c r="F37" s="40"/>
      <c r="G37" s="40"/>
    </row>
  </sheetData>
  <mergeCells count="13">
    <mergeCell ref="B2:G2"/>
    <mergeCell ref="B3:C3"/>
    <mergeCell ref="E3:F3"/>
    <mergeCell ref="B4:G4"/>
    <mergeCell ref="B5:G5"/>
    <mergeCell ref="B8:G8"/>
    <mergeCell ref="B14:G14"/>
    <mergeCell ref="B21:G21"/>
    <mergeCell ref="B27:G27"/>
    <mergeCell ref="B35:C35"/>
    <mergeCell ref="B36:C36"/>
    <mergeCell ref="B37:C37"/>
    <mergeCell ref="D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34"/>
  </cols>
  <sheetData>
    <row r="2" customFormat="false" ht="33.75" hidden="false" customHeight="true" outlineLevel="0" collapsed="false">
      <c r="B2" s="14" t="s">
        <v>66</v>
      </c>
      <c r="C2" s="14"/>
      <c r="D2" s="14"/>
      <c r="E2" s="14"/>
      <c r="F2" s="14"/>
      <c r="G2" s="14"/>
    </row>
    <row r="3" customFormat="false" ht="15" hidden="false" customHeight="true" outlineLevel="0" collapsed="false">
      <c r="B3" s="28" t="s">
        <v>67</v>
      </c>
      <c r="C3" s="28"/>
      <c r="D3" s="29" t="s">
        <v>239</v>
      </c>
      <c r="E3" s="28" t="s">
        <v>69</v>
      </c>
      <c r="F3" s="28"/>
      <c r="G3" s="29" t="s">
        <v>5</v>
      </c>
    </row>
    <row r="4" customFormat="false" ht="15" hidden="false" customHeight="true" outlineLevel="0" collapsed="false">
      <c r="B4" s="28" t="s">
        <v>70</v>
      </c>
      <c r="C4" s="28"/>
      <c r="D4" s="28"/>
      <c r="E4" s="28"/>
      <c r="F4" s="28"/>
      <c r="G4" s="28"/>
    </row>
    <row r="5" customFormat="false" ht="30" hidden="false" customHeight="true" outlineLevel="0" collapsed="false">
      <c r="B5" s="30" t="s">
        <v>240</v>
      </c>
      <c r="C5" s="30"/>
      <c r="D5" s="30"/>
      <c r="E5" s="30"/>
      <c r="F5" s="30"/>
      <c r="G5" s="30"/>
    </row>
    <row r="7" customFormat="false" ht="24" hidden="false" customHeight="true" outlineLevel="0" collapsed="false">
      <c r="B7" s="22" t="s">
        <v>72</v>
      </c>
      <c r="C7" s="22" t="s">
        <v>73</v>
      </c>
      <c r="D7" s="22" t="s">
        <v>74</v>
      </c>
      <c r="E7" s="22" t="s">
        <v>75</v>
      </c>
      <c r="F7" s="22" t="s">
        <v>76</v>
      </c>
      <c r="G7" s="22" t="s">
        <v>77</v>
      </c>
    </row>
    <row r="8" customFormat="false" ht="21.75" hidden="false" customHeight="true" outlineLevel="0" collapsed="false">
      <c r="B8" s="31" t="s">
        <v>78</v>
      </c>
      <c r="C8" s="31"/>
      <c r="D8" s="31"/>
      <c r="E8" s="31"/>
      <c r="F8" s="31"/>
      <c r="G8" s="31"/>
    </row>
    <row r="9" customFormat="false" ht="33.75" hidden="false" customHeight="true" outlineLevel="0" collapsed="false">
      <c r="B9" s="32" t="n">
        <v>1</v>
      </c>
      <c r="C9" s="33" t="s">
        <v>79</v>
      </c>
      <c r="D9" s="27" t="s">
        <v>80</v>
      </c>
      <c r="E9" s="32" t="s">
        <v>24</v>
      </c>
      <c r="F9" s="27"/>
      <c r="G9" s="27"/>
    </row>
    <row r="10" customFormat="false" ht="33.75" hidden="false" customHeight="true" outlineLevel="0" collapsed="false">
      <c r="B10" s="32" t="n">
        <v>2</v>
      </c>
      <c r="C10" s="33" t="s">
        <v>81</v>
      </c>
      <c r="D10" s="27" t="s">
        <v>82</v>
      </c>
      <c r="E10" s="32" t="s">
        <v>28</v>
      </c>
      <c r="F10" s="27" t="s">
        <v>83</v>
      </c>
      <c r="G10" s="27" t="s">
        <v>84</v>
      </c>
    </row>
    <row r="11" customFormat="false" ht="33.75" hidden="false" customHeight="true" outlineLevel="0" collapsed="false">
      <c r="B11" s="32" t="n">
        <v>3</v>
      </c>
      <c r="C11" s="33" t="s">
        <v>85</v>
      </c>
      <c r="D11" s="27" t="s">
        <v>86</v>
      </c>
      <c r="E11" s="32" t="s">
        <v>24</v>
      </c>
      <c r="F11" s="27"/>
      <c r="G11" s="27"/>
    </row>
    <row r="12" customFormat="false" ht="33.75" hidden="false" customHeight="true" outlineLevel="0" collapsed="false">
      <c r="B12" s="32" t="n">
        <v>4</v>
      </c>
      <c r="C12" s="33" t="s">
        <v>87</v>
      </c>
      <c r="D12" s="27" t="s">
        <v>88</v>
      </c>
      <c r="E12" s="32" t="s">
        <v>24</v>
      </c>
      <c r="F12" s="27"/>
      <c r="G12" s="27"/>
    </row>
    <row r="13" customFormat="false" ht="33.75" hidden="false" customHeight="true" outlineLevel="0" collapsed="false">
      <c r="B13" s="32" t="n">
        <v>5</v>
      </c>
      <c r="C13" s="33" t="s">
        <v>89</v>
      </c>
      <c r="D13" s="27" t="s">
        <v>90</v>
      </c>
      <c r="E13" s="32" t="s">
        <v>24</v>
      </c>
      <c r="F13" s="27"/>
      <c r="G13" s="27"/>
    </row>
    <row r="14" customFormat="false" ht="21.75" hidden="false" customHeight="true" outlineLevel="0" collapsed="false">
      <c r="B14" s="34" t="s">
        <v>91</v>
      </c>
      <c r="C14" s="34"/>
      <c r="D14" s="34"/>
      <c r="E14" s="34"/>
      <c r="F14" s="34"/>
      <c r="G14" s="34"/>
    </row>
    <row r="15" customFormat="false" ht="33.75" hidden="false" customHeight="true" outlineLevel="0" collapsed="false">
      <c r="B15" s="32" t="n">
        <v>6</v>
      </c>
      <c r="C15" s="33" t="s">
        <v>92</v>
      </c>
      <c r="D15" s="27" t="s">
        <v>93</v>
      </c>
      <c r="E15" s="32" t="s">
        <v>24</v>
      </c>
      <c r="F15" s="27"/>
      <c r="G15" s="27"/>
    </row>
    <row r="16" customFormat="false" ht="33.75" hidden="false" customHeight="true" outlineLevel="0" collapsed="false">
      <c r="B16" s="32" t="n">
        <v>7</v>
      </c>
      <c r="C16" s="33" t="s">
        <v>94</v>
      </c>
      <c r="D16" s="27" t="s">
        <v>95</v>
      </c>
      <c r="E16" s="32" t="s">
        <v>24</v>
      </c>
      <c r="F16" s="27"/>
      <c r="G16" s="27"/>
    </row>
    <row r="17" customFormat="false" ht="33.75" hidden="false" customHeight="true" outlineLevel="0" collapsed="false">
      <c r="B17" s="32" t="n">
        <v>8</v>
      </c>
      <c r="C17" s="33" t="s">
        <v>96</v>
      </c>
      <c r="D17" s="27" t="s">
        <v>97</v>
      </c>
      <c r="E17" s="32" t="s">
        <v>24</v>
      </c>
      <c r="F17" s="27"/>
      <c r="G17" s="27"/>
    </row>
    <row r="18" customFormat="false" ht="33.75" hidden="false" customHeight="true" outlineLevel="0" collapsed="false">
      <c r="B18" s="32" t="n">
        <v>9</v>
      </c>
      <c r="C18" s="33" t="s">
        <v>98</v>
      </c>
      <c r="D18" s="27" t="s">
        <v>99</v>
      </c>
      <c r="E18" s="32" t="s">
        <v>24</v>
      </c>
      <c r="F18" s="27"/>
      <c r="G18" s="27"/>
    </row>
    <row r="19" customFormat="false" ht="33.75" hidden="false" customHeight="true" outlineLevel="0" collapsed="false">
      <c r="B19" s="32" t="n">
        <v>10</v>
      </c>
      <c r="C19" s="33" t="s">
        <v>100</v>
      </c>
      <c r="D19" s="27" t="s">
        <v>101</v>
      </c>
      <c r="E19" s="32" t="s">
        <v>24</v>
      </c>
      <c r="F19" s="27"/>
      <c r="G19" s="27"/>
    </row>
    <row r="20" customFormat="false" ht="33.75" hidden="false" customHeight="true" outlineLevel="0" collapsed="false">
      <c r="B20" s="32" t="n">
        <v>11</v>
      </c>
      <c r="C20" s="33" t="s">
        <v>102</v>
      </c>
      <c r="D20" s="27" t="s">
        <v>103</v>
      </c>
      <c r="E20" s="32" t="s">
        <v>24</v>
      </c>
      <c r="F20" s="27"/>
      <c r="G20" s="27"/>
    </row>
    <row r="21" customFormat="false" ht="21.75" hidden="false" customHeight="true" outlineLevel="0" collapsed="false">
      <c r="B21" s="35" t="s">
        <v>104</v>
      </c>
      <c r="C21" s="35"/>
      <c r="D21" s="35"/>
      <c r="E21" s="35"/>
      <c r="F21" s="35"/>
      <c r="G21" s="35"/>
    </row>
    <row r="22" customFormat="false" ht="33.75" hidden="false" customHeight="true" outlineLevel="0" collapsed="false">
      <c r="B22" s="32" t="n">
        <v>12</v>
      </c>
      <c r="C22" s="33" t="s">
        <v>105</v>
      </c>
      <c r="D22" s="27" t="s">
        <v>106</v>
      </c>
      <c r="E22" s="32" t="s">
        <v>24</v>
      </c>
      <c r="F22" s="27"/>
      <c r="G22" s="27"/>
    </row>
    <row r="23" customFormat="false" ht="33.75" hidden="false" customHeight="true" outlineLevel="0" collapsed="false">
      <c r="B23" s="32" t="n">
        <v>13</v>
      </c>
      <c r="C23" s="33" t="s">
        <v>107</v>
      </c>
      <c r="D23" s="27" t="s">
        <v>108</v>
      </c>
      <c r="E23" s="32" t="s">
        <v>24</v>
      </c>
      <c r="F23" s="27"/>
      <c r="G23" s="27"/>
    </row>
    <row r="24" customFormat="false" ht="33.75" hidden="false" customHeight="true" outlineLevel="0" collapsed="false">
      <c r="B24" s="32" t="n">
        <v>14</v>
      </c>
      <c r="C24" s="33" t="s">
        <v>109</v>
      </c>
      <c r="D24" s="27" t="s">
        <v>110</v>
      </c>
      <c r="E24" s="32" t="s">
        <v>28</v>
      </c>
      <c r="F24" s="27" t="s">
        <v>241</v>
      </c>
      <c r="G24" s="27" t="s">
        <v>242</v>
      </c>
    </row>
    <row r="25" customFormat="false" ht="33.75" hidden="false" customHeight="true" outlineLevel="0" collapsed="false">
      <c r="B25" s="32" t="n">
        <v>15</v>
      </c>
      <c r="C25" s="33" t="s">
        <v>111</v>
      </c>
      <c r="D25" s="27" t="s">
        <v>112</v>
      </c>
      <c r="E25" s="32" t="s">
        <v>30</v>
      </c>
      <c r="F25" s="27"/>
      <c r="G25" s="27"/>
    </row>
    <row r="26" customFormat="false" ht="33.75" hidden="false" customHeight="true" outlineLevel="0" collapsed="false">
      <c r="B26" s="32" t="n">
        <v>16</v>
      </c>
      <c r="C26" s="33" t="s">
        <v>113</v>
      </c>
      <c r="D26" s="27" t="s">
        <v>114</v>
      </c>
      <c r="E26" s="32" t="s">
        <v>30</v>
      </c>
      <c r="F26" s="27"/>
      <c r="G26" s="27"/>
    </row>
    <row r="27" customFormat="false" ht="21.75" hidden="false" customHeight="true" outlineLevel="0" collapsed="false">
      <c r="B27" s="36" t="s">
        <v>117</v>
      </c>
      <c r="C27" s="36"/>
      <c r="D27" s="36"/>
      <c r="E27" s="36"/>
      <c r="F27" s="36"/>
      <c r="G27" s="36"/>
    </row>
    <row r="28" customFormat="false" ht="33.75" hidden="false" customHeight="true" outlineLevel="0" collapsed="false">
      <c r="B28" s="32" t="n">
        <v>17</v>
      </c>
      <c r="C28" s="33" t="s">
        <v>118</v>
      </c>
      <c r="D28" s="27" t="s">
        <v>119</v>
      </c>
      <c r="E28" s="32" t="s">
        <v>28</v>
      </c>
      <c r="F28" s="27" t="s">
        <v>120</v>
      </c>
      <c r="G28" s="27" t="s">
        <v>121</v>
      </c>
    </row>
    <row r="29" customFormat="false" ht="33.75" hidden="false" customHeight="true" outlineLevel="0" collapsed="false">
      <c r="B29" s="32" t="n">
        <v>18</v>
      </c>
      <c r="C29" s="33" t="s">
        <v>122</v>
      </c>
      <c r="D29" s="27" t="s">
        <v>123</v>
      </c>
      <c r="E29" s="32" t="s">
        <v>24</v>
      </c>
      <c r="F29" s="27"/>
      <c r="G29" s="27"/>
    </row>
    <row r="30" customFormat="false" ht="33.75" hidden="false" customHeight="true" outlineLevel="0" collapsed="false">
      <c r="B30" s="32" t="n">
        <v>19</v>
      </c>
      <c r="C30" s="33" t="s">
        <v>124</v>
      </c>
      <c r="D30" s="27" t="s">
        <v>125</v>
      </c>
      <c r="E30" s="32" t="s">
        <v>30</v>
      </c>
      <c r="F30" s="27"/>
      <c r="G30" s="27"/>
    </row>
    <row r="31" customFormat="false" ht="33.75" hidden="false" customHeight="true" outlineLevel="0" collapsed="false">
      <c r="B31" s="32" t="n">
        <v>20</v>
      </c>
      <c r="C31" s="33" t="s">
        <v>126</v>
      </c>
      <c r="D31" s="27" t="s">
        <v>127</v>
      </c>
      <c r="E31" s="32" t="s">
        <v>24</v>
      </c>
      <c r="F31" s="27"/>
      <c r="G31" s="27"/>
    </row>
    <row r="32" customFormat="false" ht="33.75" hidden="false" customHeight="true" outlineLevel="0" collapsed="false">
      <c r="B32" s="32" t="n">
        <v>21</v>
      </c>
      <c r="C32" s="33" t="s">
        <v>128</v>
      </c>
      <c r="D32" s="27" t="s">
        <v>129</v>
      </c>
      <c r="E32" s="32" t="s">
        <v>28</v>
      </c>
      <c r="F32" s="27" t="s">
        <v>130</v>
      </c>
      <c r="G32" s="27" t="s">
        <v>131</v>
      </c>
    </row>
    <row r="33" customFormat="false" ht="33.75" hidden="false" customHeight="true" outlineLevel="0" collapsed="false">
      <c r="B33" s="32" t="n">
        <v>22</v>
      </c>
      <c r="C33" s="33" t="s">
        <v>132</v>
      </c>
      <c r="D33" s="27" t="s">
        <v>133</v>
      </c>
      <c r="E33" s="32" t="s">
        <v>24</v>
      </c>
      <c r="F33" s="27"/>
      <c r="G33" s="27"/>
    </row>
    <row r="35" customFormat="false" ht="15" hidden="false" customHeight="true" outlineLevel="0" collapsed="false">
      <c r="B35" s="28" t="s">
        <v>134</v>
      </c>
      <c r="C35" s="28"/>
      <c r="D35" s="37" t="n">
        <f aca="false">COUNTIF(E8:E33,"✗ No cumple")</f>
        <v>0</v>
      </c>
    </row>
    <row r="36" customFormat="false" ht="15" hidden="false" customHeight="true" outlineLevel="0" collapsed="false">
      <c r="B36" s="28" t="s">
        <v>135</v>
      </c>
      <c r="C36" s="28"/>
      <c r="D36" s="38" t="n">
        <f aca="false">COUNTIF(E8:E33,"⚠ Revisar")</f>
        <v>4</v>
      </c>
    </row>
    <row r="37" customFormat="false" ht="24" hidden="false" customHeight="true" outlineLevel="0" collapsed="false">
      <c r="B37" s="39" t="s">
        <v>136</v>
      </c>
      <c r="C37" s="39"/>
      <c r="D37" s="40" t="str">
        <f aca="false">IF(D35&gt;0,"RECHAZADA - corregir ambigüedades críticas",IF(D36&gt;0,"APROBADA CON OBSERVACIONES - aclarar pendientes","APROBADA - lista para BDD"))</f>
        <v>APROBADA CON OBSERVACIONES - aclarar pendientes</v>
      </c>
      <c r="E37" s="40"/>
      <c r="F37" s="40"/>
      <c r="G37" s="40"/>
    </row>
  </sheetData>
  <mergeCells count="13">
    <mergeCell ref="B2:G2"/>
    <mergeCell ref="B3:C3"/>
    <mergeCell ref="E3:F3"/>
    <mergeCell ref="B4:G4"/>
    <mergeCell ref="B5:G5"/>
    <mergeCell ref="B8:G8"/>
    <mergeCell ref="B14:G14"/>
    <mergeCell ref="B21:G21"/>
    <mergeCell ref="B27:G27"/>
    <mergeCell ref="B35:C35"/>
    <mergeCell ref="B36:C36"/>
    <mergeCell ref="B37:C37"/>
    <mergeCell ref="D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34"/>
  </cols>
  <sheetData>
    <row r="2" customFormat="false" ht="33.75" hidden="false" customHeight="true" outlineLevel="0" collapsed="false">
      <c r="B2" s="14" t="s">
        <v>66</v>
      </c>
      <c r="C2" s="14"/>
      <c r="D2" s="14"/>
      <c r="E2" s="14"/>
      <c r="F2" s="14"/>
      <c r="G2" s="14"/>
    </row>
    <row r="3" customFormat="false" ht="15" hidden="false" customHeight="true" outlineLevel="0" collapsed="false">
      <c r="B3" s="28" t="s">
        <v>67</v>
      </c>
      <c r="C3" s="28"/>
      <c r="D3" s="29" t="s">
        <v>243</v>
      </c>
      <c r="E3" s="28" t="s">
        <v>69</v>
      </c>
      <c r="F3" s="28"/>
      <c r="G3" s="29" t="s">
        <v>5</v>
      </c>
    </row>
    <row r="4" customFormat="false" ht="15" hidden="false" customHeight="true" outlineLevel="0" collapsed="false">
      <c r="B4" s="28" t="s">
        <v>70</v>
      </c>
      <c r="C4" s="28"/>
      <c r="D4" s="28"/>
      <c r="E4" s="28"/>
      <c r="F4" s="28"/>
      <c r="G4" s="28"/>
    </row>
    <row r="5" customFormat="false" ht="30" hidden="false" customHeight="true" outlineLevel="0" collapsed="false">
      <c r="B5" s="30" t="s">
        <v>244</v>
      </c>
      <c r="C5" s="30"/>
      <c r="D5" s="30"/>
      <c r="E5" s="30"/>
      <c r="F5" s="30"/>
      <c r="G5" s="30"/>
    </row>
    <row r="7" customFormat="false" ht="24" hidden="false" customHeight="true" outlineLevel="0" collapsed="false">
      <c r="B7" s="22" t="s">
        <v>72</v>
      </c>
      <c r="C7" s="22" t="s">
        <v>73</v>
      </c>
      <c r="D7" s="22" t="s">
        <v>74</v>
      </c>
      <c r="E7" s="22" t="s">
        <v>75</v>
      </c>
      <c r="F7" s="22" t="s">
        <v>76</v>
      </c>
      <c r="G7" s="22" t="s">
        <v>77</v>
      </c>
    </row>
    <row r="8" customFormat="false" ht="21.75" hidden="false" customHeight="true" outlineLevel="0" collapsed="false">
      <c r="B8" s="31" t="s">
        <v>78</v>
      </c>
      <c r="C8" s="31"/>
      <c r="D8" s="31"/>
      <c r="E8" s="31"/>
      <c r="F8" s="31"/>
      <c r="G8" s="31"/>
    </row>
    <row r="9" customFormat="false" ht="33.75" hidden="false" customHeight="true" outlineLevel="0" collapsed="false">
      <c r="B9" s="32" t="n">
        <v>1</v>
      </c>
      <c r="C9" s="33" t="s">
        <v>79</v>
      </c>
      <c r="D9" s="27" t="s">
        <v>80</v>
      </c>
      <c r="E9" s="32" t="s">
        <v>24</v>
      </c>
      <c r="F9" s="27"/>
      <c r="G9" s="27"/>
    </row>
    <row r="10" customFormat="false" ht="33.75" hidden="false" customHeight="true" outlineLevel="0" collapsed="false">
      <c r="B10" s="32" t="n">
        <v>2</v>
      </c>
      <c r="C10" s="33" t="s">
        <v>81</v>
      </c>
      <c r="D10" s="27" t="s">
        <v>82</v>
      </c>
      <c r="E10" s="32" t="s">
        <v>28</v>
      </c>
      <c r="F10" s="27" t="s">
        <v>83</v>
      </c>
      <c r="G10" s="27" t="s">
        <v>84</v>
      </c>
    </row>
    <row r="11" customFormat="false" ht="33.75" hidden="false" customHeight="true" outlineLevel="0" collapsed="false">
      <c r="B11" s="32" t="n">
        <v>3</v>
      </c>
      <c r="C11" s="33" t="s">
        <v>85</v>
      </c>
      <c r="D11" s="27" t="s">
        <v>86</v>
      </c>
      <c r="E11" s="32" t="s">
        <v>24</v>
      </c>
      <c r="F11" s="27"/>
      <c r="G11" s="27"/>
    </row>
    <row r="12" customFormat="false" ht="33.75" hidden="false" customHeight="true" outlineLevel="0" collapsed="false">
      <c r="B12" s="32" t="n">
        <v>4</v>
      </c>
      <c r="C12" s="33" t="s">
        <v>87</v>
      </c>
      <c r="D12" s="27" t="s">
        <v>88</v>
      </c>
      <c r="E12" s="32" t="s">
        <v>24</v>
      </c>
      <c r="F12" s="27"/>
      <c r="G12" s="27"/>
    </row>
    <row r="13" customFormat="false" ht="33.75" hidden="false" customHeight="true" outlineLevel="0" collapsed="false">
      <c r="B13" s="32" t="n">
        <v>5</v>
      </c>
      <c r="C13" s="33" t="s">
        <v>89</v>
      </c>
      <c r="D13" s="27" t="s">
        <v>90</v>
      </c>
      <c r="E13" s="32" t="s">
        <v>24</v>
      </c>
      <c r="F13" s="27"/>
      <c r="G13" s="27"/>
    </row>
    <row r="14" customFormat="false" ht="21.75" hidden="false" customHeight="true" outlineLevel="0" collapsed="false">
      <c r="B14" s="34" t="s">
        <v>91</v>
      </c>
      <c r="C14" s="34"/>
      <c r="D14" s="34"/>
      <c r="E14" s="34"/>
      <c r="F14" s="34"/>
      <c r="G14" s="34"/>
    </row>
    <row r="15" customFormat="false" ht="33.75" hidden="false" customHeight="true" outlineLevel="0" collapsed="false">
      <c r="B15" s="32" t="n">
        <v>6</v>
      </c>
      <c r="C15" s="33" t="s">
        <v>92</v>
      </c>
      <c r="D15" s="27" t="s">
        <v>93</v>
      </c>
      <c r="E15" s="32" t="s">
        <v>24</v>
      </c>
      <c r="F15" s="27"/>
      <c r="G15" s="27"/>
    </row>
    <row r="16" customFormat="false" ht="33.75" hidden="false" customHeight="true" outlineLevel="0" collapsed="false">
      <c r="B16" s="32" t="n">
        <v>7</v>
      </c>
      <c r="C16" s="33" t="s">
        <v>94</v>
      </c>
      <c r="D16" s="27" t="s">
        <v>95</v>
      </c>
      <c r="E16" s="32" t="s">
        <v>24</v>
      </c>
      <c r="F16" s="27"/>
      <c r="G16" s="27"/>
    </row>
    <row r="17" customFormat="false" ht="33.75" hidden="false" customHeight="true" outlineLevel="0" collapsed="false">
      <c r="B17" s="32" t="n">
        <v>8</v>
      </c>
      <c r="C17" s="33" t="s">
        <v>96</v>
      </c>
      <c r="D17" s="27" t="s">
        <v>97</v>
      </c>
      <c r="E17" s="32" t="s">
        <v>24</v>
      </c>
      <c r="F17" s="27"/>
      <c r="G17" s="27"/>
    </row>
    <row r="18" customFormat="false" ht="33.75" hidden="false" customHeight="true" outlineLevel="0" collapsed="false">
      <c r="B18" s="32" t="n">
        <v>9</v>
      </c>
      <c r="C18" s="33" t="s">
        <v>98</v>
      </c>
      <c r="D18" s="27" t="s">
        <v>99</v>
      </c>
      <c r="E18" s="32" t="s">
        <v>24</v>
      </c>
      <c r="F18" s="27"/>
      <c r="G18" s="27"/>
    </row>
    <row r="19" customFormat="false" ht="33.75" hidden="false" customHeight="true" outlineLevel="0" collapsed="false">
      <c r="B19" s="32" t="n">
        <v>10</v>
      </c>
      <c r="C19" s="33" t="s">
        <v>100</v>
      </c>
      <c r="D19" s="27" t="s">
        <v>101</v>
      </c>
      <c r="E19" s="32" t="s">
        <v>24</v>
      </c>
      <c r="F19" s="27"/>
      <c r="G19" s="27"/>
    </row>
    <row r="20" customFormat="false" ht="33.75" hidden="false" customHeight="true" outlineLevel="0" collapsed="false">
      <c r="B20" s="32" t="n">
        <v>11</v>
      </c>
      <c r="C20" s="33" t="s">
        <v>102</v>
      </c>
      <c r="D20" s="27" t="s">
        <v>103</v>
      </c>
      <c r="E20" s="32" t="s">
        <v>24</v>
      </c>
      <c r="F20" s="27"/>
      <c r="G20" s="27"/>
    </row>
    <row r="21" customFormat="false" ht="21.75" hidden="false" customHeight="true" outlineLevel="0" collapsed="false">
      <c r="B21" s="35" t="s">
        <v>104</v>
      </c>
      <c r="C21" s="35"/>
      <c r="D21" s="35"/>
      <c r="E21" s="35"/>
      <c r="F21" s="35"/>
      <c r="G21" s="35"/>
    </row>
    <row r="22" customFormat="false" ht="33.75" hidden="false" customHeight="true" outlineLevel="0" collapsed="false">
      <c r="B22" s="32" t="n">
        <v>12</v>
      </c>
      <c r="C22" s="33" t="s">
        <v>105</v>
      </c>
      <c r="D22" s="27" t="s">
        <v>106</v>
      </c>
      <c r="E22" s="32" t="s">
        <v>24</v>
      </c>
      <c r="F22" s="27"/>
      <c r="G22" s="27"/>
    </row>
    <row r="23" customFormat="false" ht="33.75" hidden="false" customHeight="true" outlineLevel="0" collapsed="false">
      <c r="B23" s="32" t="n">
        <v>13</v>
      </c>
      <c r="C23" s="33" t="s">
        <v>107</v>
      </c>
      <c r="D23" s="27" t="s">
        <v>108</v>
      </c>
      <c r="E23" s="32" t="s">
        <v>24</v>
      </c>
      <c r="F23" s="27"/>
      <c r="G23" s="27"/>
    </row>
    <row r="24" customFormat="false" ht="33.75" hidden="false" customHeight="true" outlineLevel="0" collapsed="false">
      <c r="B24" s="32" t="n">
        <v>14</v>
      </c>
      <c r="C24" s="33" t="s">
        <v>109</v>
      </c>
      <c r="D24" s="27" t="s">
        <v>110</v>
      </c>
      <c r="E24" s="32" t="s">
        <v>28</v>
      </c>
      <c r="F24" s="27" t="s">
        <v>245</v>
      </c>
      <c r="G24" s="27" t="s">
        <v>242</v>
      </c>
    </row>
    <row r="25" customFormat="false" ht="33.75" hidden="false" customHeight="true" outlineLevel="0" collapsed="false">
      <c r="B25" s="32" t="n">
        <v>15</v>
      </c>
      <c r="C25" s="33" t="s">
        <v>111</v>
      </c>
      <c r="D25" s="27" t="s">
        <v>112</v>
      </c>
      <c r="E25" s="32" t="s">
        <v>30</v>
      </c>
      <c r="F25" s="27"/>
      <c r="G25" s="27"/>
    </row>
    <row r="26" customFormat="false" ht="33.75" hidden="false" customHeight="true" outlineLevel="0" collapsed="false">
      <c r="B26" s="32" t="n">
        <v>16</v>
      </c>
      <c r="C26" s="33" t="s">
        <v>113</v>
      </c>
      <c r="D26" s="27" t="s">
        <v>114</v>
      </c>
      <c r="E26" s="32" t="s">
        <v>30</v>
      </c>
      <c r="F26" s="27"/>
      <c r="G26" s="27"/>
    </row>
    <row r="27" customFormat="false" ht="21.75" hidden="false" customHeight="true" outlineLevel="0" collapsed="false">
      <c r="B27" s="36" t="s">
        <v>117</v>
      </c>
      <c r="C27" s="36"/>
      <c r="D27" s="36"/>
      <c r="E27" s="36"/>
      <c r="F27" s="36"/>
      <c r="G27" s="36"/>
    </row>
    <row r="28" customFormat="false" ht="33.75" hidden="false" customHeight="true" outlineLevel="0" collapsed="false">
      <c r="B28" s="32" t="n">
        <v>17</v>
      </c>
      <c r="C28" s="33" t="s">
        <v>118</v>
      </c>
      <c r="D28" s="27" t="s">
        <v>119</v>
      </c>
      <c r="E28" s="32" t="s">
        <v>28</v>
      </c>
      <c r="F28" s="27" t="s">
        <v>120</v>
      </c>
      <c r="G28" s="27" t="s">
        <v>121</v>
      </c>
    </row>
    <row r="29" customFormat="false" ht="33.75" hidden="false" customHeight="true" outlineLevel="0" collapsed="false">
      <c r="B29" s="32" t="n">
        <v>18</v>
      </c>
      <c r="C29" s="33" t="s">
        <v>122</v>
      </c>
      <c r="D29" s="27" t="s">
        <v>123</v>
      </c>
      <c r="E29" s="32" t="s">
        <v>24</v>
      </c>
      <c r="F29" s="27"/>
      <c r="G29" s="27"/>
    </row>
    <row r="30" customFormat="false" ht="33.75" hidden="false" customHeight="true" outlineLevel="0" collapsed="false">
      <c r="B30" s="32" t="n">
        <v>19</v>
      </c>
      <c r="C30" s="33" t="s">
        <v>124</v>
      </c>
      <c r="D30" s="27" t="s">
        <v>125</v>
      </c>
      <c r="E30" s="32" t="s">
        <v>30</v>
      </c>
      <c r="F30" s="27"/>
      <c r="G30" s="27"/>
    </row>
    <row r="31" customFormat="false" ht="33.75" hidden="false" customHeight="true" outlineLevel="0" collapsed="false">
      <c r="B31" s="32" t="n">
        <v>20</v>
      </c>
      <c r="C31" s="33" t="s">
        <v>126</v>
      </c>
      <c r="D31" s="27" t="s">
        <v>127</v>
      </c>
      <c r="E31" s="32" t="s">
        <v>24</v>
      </c>
      <c r="F31" s="27"/>
      <c r="G31" s="27"/>
    </row>
    <row r="32" customFormat="false" ht="33.75" hidden="false" customHeight="true" outlineLevel="0" collapsed="false">
      <c r="B32" s="32" t="n">
        <v>21</v>
      </c>
      <c r="C32" s="33" t="s">
        <v>128</v>
      </c>
      <c r="D32" s="27" t="s">
        <v>129</v>
      </c>
      <c r="E32" s="32" t="s">
        <v>28</v>
      </c>
      <c r="F32" s="27" t="s">
        <v>130</v>
      </c>
      <c r="G32" s="27" t="s">
        <v>131</v>
      </c>
    </row>
    <row r="33" customFormat="false" ht="33.75" hidden="false" customHeight="true" outlineLevel="0" collapsed="false">
      <c r="B33" s="32" t="n">
        <v>22</v>
      </c>
      <c r="C33" s="33" t="s">
        <v>132</v>
      </c>
      <c r="D33" s="27" t="s">
        <v>133</v>
      </c>
      <c r="E33" s="32" t="s">
        <v>24</v>
      </c>
      <c r="F33" s="27"/>
      <c r="G33" s="27"/>
    </row>
    <row r="35" customFormat="false" ht="15" hidden="false" customHeight="true" outlineLevel="0" collapsed="false">
      <c r="B35" s="28" t="s">
        <v>134</v>
      </c>
      <c r="C35" s="28"/>
      <c r="D35" s="37" t="n">
        <f aca="false">COUNTIF(E8:E33,"✗ No cumple")</f>
        <v>0</v>
      </c>
    </row>
    <row r="36" customFormat="false" ht="15" hidden="false" customHeight="true" outlineLevel="0" collapsed="false">
      <c r="B36" s="28" t="s">
        <v>135</v>
      </c>
      <c r="C36" s="28"/>
      <c r="D36" s="38" t="n">
        <f aca="false">COUNTIF(E8:E33,"⚠ Revisar")</f>
        <v>4</v>
      </c>
    </row>
    <row r="37" customFormat="false" ht="24" hidden="false" customHeight="true" outlineLevel="0" collapsed="false">
      <c r="B37" s="39" t="s">
        <v>136</v>
      </c>
      <c r="C37" s="39"/>
      <c r="D37" s="40" t="str">
        <f aca="false">IF(D35&gt;0,"RECHAZADA - corregir ambigüedades críticas",IF(D36&gt;0,"APROBADA CON OBSERVACIONES - aclarar pendientes","APROBADA - lista para BDD"))</f>
        <v>APROBADA CON OBSERVACIONES - aclarar pendientes</v>
      </c>
      <c r="E37" s="40"/>
      <c r="F37" s="40"/>
      <c r="G37" s="40"/>
    </row>
  </sheetData>
  <mergeCells count="13">
    <mergeCell ref="B2:G2"/>
    <mergeCell ref="B3:C3"/>
    <mergeCell ref="E3:F3"/>
    <mergeCell ref="B4:G4"/>
    <mergeCell ref="B5:G5"/>
    <mergeCell ref="B8:G8"/>
    <mergeCell ref="B14:G14"/>
    <mergeCell ref="B21:G21"/>
    <mergeCell ref="B27:G27"/>
    <mergeCell ref="B35:C35"/>
    <mergeCell ref="B36:C36"/>
    <mergeCell ref="B37:C37"/>
    <mergeCell ref="D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34"/>
  </cols>
  <sheetData>
    <row r="2" customFormat="false" ht="33.75" hidden="false" customHeight="true" outlineLevel="0" collapsed="false">
      <c r="B2" s="14" t="s">
        <v>66</v>
      </c>
      <c r="C2" s="14"/>
      <c r="D2" s="14"/>
      <c r="E2" s="14"/>
      <c r="F2" s="14"/>
      <c r="G2" s="14"/>
    </row>
    <row r="3" customFormat="false" ht="15" hidden="false" customHeight="true" outlineLevel="0" collapsed="false">
      <c r="B3" s="28" t="s">
        <v>67</v>
      </c>
      <c r="C3" s="28"/>
      <c r="D3" s="29" t="s">
        <v>246</v>
      </c>
      <c r="E3" s="28" t="s">
        <v>69</v>
      </c>
      <c r="F3" s="28"/>
      <c r="G3" s="29" t="s">
        <v>5</v>
      </c>
    </row>
    <row r="4" customFormat="false" ht="15" hidden="false" customHeight="true" outlineLevel="0" collapsed="false">
      <c r="B4" s="28" t="s">
        <v>70</v>
      </c>
      <c r="C4" s="28"/>
      <c r="D4" s="28"/>
      <c r="E4" s="28"/>
      <c r="F4" s="28"/>
      <c r="G4" s="28"/>
    </row>
    <row r="5" customFormat="false" ht="30" hidden="false" customHeight="true" outlineLevel="0" collapsed="false">
      <c r="B5" s="30" t="s">
        <v>247</v>
      </c>
      <c r="C5" s="30"/>
      <c r="D5" s="30"/>
      <c r="E5" s="30"/>
      <c r="F5" s="30"/>
      <c r="G5" s="30"/>
    </row>
    <row r="7" customFormat="false" ht="24" hidden="false" customHeight="true" outlineLevel="0" collapsed="false">
      <c r="B7" s="22" t="s">
        <v>72</v>
      </c>
      <c r="C7" s="22" t="s">
        <v>73</v>
      </c>
      <c r="D7" s="22" t="s">
        <v>74</v>
      </c>
      <c r="E7" s="22" t="s">
        <v>75</v>
      </c>
      <c r="F7" s="22" t="s">
        <v>76</v>
      </c>
      <c r="G7" s="22" t="s">
        <v>77</v>
      </c>
    </row>
    <row r="8" customFormat="false" ht="21.75" hidden="false" customHeight="true" outlineLevel="0" collapsed="false">
      <c r="B8" s="31" t="s">
        <v>78</v>
      </c>
      <c r="C8" s="31"/>
      <c r="D8" s="31"/>
      <c r="E8" s="31"/>
      <c r="F8" s="31"/>
      <c r="G8" s="31"/>
    </row>
    <row r="9" customFormat="false" ht="33.75" hidden="false" customHeight="true" outlineLevel="0" collapsed="false">
      <c r="B9" s="32" t="n">
        <v>1</v>
      </c>
      <c r="C9" s="33" t="s">
        <v>79</v>
      </c>
      <c r="D9" s="27" t="s">
        <v>80</v>
      </c>
      <c r="E9" s="32" t="s">
        <v>24</v>
      </c>
      <c r="F9" s="27"/>
      <c r="G9" s="27"/>
    </row>
    <row r="10" customFormat="false" ht="33.75" hidden="false" customHeight="true" outlineLevel="0" collapsed="false">
      <c r="B10" s="32" t="n">
        <v>2</v>
      </c>
      <c r="C10" s="33" t="s">
        <v>81</v>
      </c>
      <c r="D10" s="27" t="s">
        <v>82</v>
      </c>
      <c r="E10" s="32" t="s">
        <v>28</v>
      </c>
      <c r="F10" s="27" t="s">
        <v>83</v>
      </c>
      <c r="G10" s="27" t="s">
        <v>84</v>
      </c>
    </row>
    <row r="11" customFormat="false" ht="33.75" hidden="false" customHeight="true" outlineLevel="0" collapsed="false">
      <c r="B11" s="32" t="n">
        <v>3</v>
      </c>
      <c r="C11" s="33" t="s">
        <v>85</v>
      </c>
      <c r="D11" s="27" t="s">
        <v>86</v>
      </c>
      <c r="E11" s="32" t="s">
        <v>24</v>
      </c>
      <c r="F11" s="27"/>
      <c r="G11" s="27"/>
    </row>
    <row r="12" customFormat="false" ht="33.75" hidden="false" customHeight="true" outlineLevel="0" collapsed="false">
      <c r="B12" s="32" t="n">
        <v>4</v>
      </c>
      <c r="C12" s="33" t="s">
        <v>87</v>
      </c>
      <c r="D12" s="27" t="s">
        <v>88</v>
      </c>
      <c r="E12" s="32" t="s">
        <v>24</v>
      </c>
      <c r="F12" s="27"/>
      <c r="G12" s="27"/>
    </row>
    <row r="13" customFormat="false" ht="33.75" hidden="false" customHeight="true" outlineLevel="0" collapsed="false">
      <c r="B13" s="32" t="n">
        <v>5</v>
      </c>
      <c r="C13" s="33" t="s">
        <v>89</v>
      </c>
      <c r="D13" s="27" t="s">
        <v>90</v>
      </c>
      <c r="E13" s="32" t="s">
        <v>24</v>
      </c>
      <c r="F13" s="27"/>
      <c r="G13" s="27"/>
    </row>
    <row r="14" customFormat="false" ht="21.75" hidden="false" customHeight="true" outlineLevel="0" collapsed="false">
      <c r="B14" s="34" t="s">
        <v>91</v>
      </c>
      <c r="C14" s="34"/>
      <c r="D14" s="34"/>
      <c r="E14" s="34"/>
      <c r="F14" s="34"/>
      <c r="G14" s="34"/>
    </row>
    <row r="15" customFormat="false" ht="33.75" hidden="false" customHeight="true" outlineLevel="0" collapsed="false">
      <c r="B15" s="32" t="n">
        <v>6</v>
      </c>
      <c r="C15" s="33" t="s">
        <v>92</v>
      </c>
      <c r="D15" s="27" t="s">
        <v>93</v>
      </c>
      <c r="E15" s="32" t="s">
        <v>24</v>
      </c>
      <c r="F15" s="27"/>
      <c r="G15" s="27"/>
    </row>
    <row r="16" customFormat="false" ht="33.75" hidden="false" customHeight="true" outlineLevel="0" collapsed="false">
      <c r="B16" s="32" t="n">
        <v>7</v>
      </c>
      <c r="C16" s="33" t="s">
        <v>94</v>
      </c>
      <c r="D16" s="27" t="s">
        <v>95</v>
      </c>
      <c r="E16" s="32" t="s">
        <v>24</v>
      </c>
      <c r="F16" s="27"/>
      <c r="G16" s="27"/>
    </row>
    <row r="17" customFormat="false" ht="33.75" hidden="false" customHeight="true" outlineLevel="0" collapsed="false">
      <c r="B17" s="32" t="n">
        <v>8</v>
      </c>
      <c r="C17" s="33" t="s">
        <v>96</v>
      </c>
      <c r="D17" s="27" t="s">
        <v>97</v>
      </c>
      <c r="E17" s="32" t="s">
        <v>24</v>
      </c>
      <c r="F17" s="27"/>
      <c r="G17" s="27"/>
    </row>
    <row r="18" customFormat="false" ht="33.75" hidden="false" customHeight="true" outlineLevel="0" collapsed="false">
      <c r="B18" s="32" t="n">
        <v>9</v>
      </c>
      <c r="C18" s="33" t="s">
        <v>98</v>
      </c>
      <c r="D18" s="27" t="s">
        <v>99</v>
      </c>
      <c r="E18" s="32" t="s">
        <v>24</v>
      </c>
      <c r="F18" s="27"/>
      <c r="G18" s="27"/>
    </row>
    <row r="19" customFormat="false" ht="33.75" hidden="false" customHeight="true" outlineLevel="0" collapsed="false">
      <c r="B19" s="32" t="n">
        <v>10</v>
      </c>
      <c r="C19" s="33" t="s">
        <v>100</v>
      </c>
      <c r="D19" s="27" t="s">
        <v>101</v>
      </c>
      <c r="E19" s="32" t="s">
        <v>24</v>
      </c>
      <c r="F19" s="27"/>
      <c r="G19" s="27"/>
    </row>
    <row r="20" customFormat="false" ht="33.75" hidden="false" customHeight="true" outlineLevel="0" collapsed="false">
      <c r="B20" s="32" t="n">
        <v>11</v>
      </c>
      <c r="C20" s="33" t="s">
        <v>102</v>
      </c>
      <c r="D20" s="27" t="s">
        <v>103</v>
      </c>
      <c r="E20" s="32" t="s">
        <v>24</v>
      </c>
      <c r="F20" s="27"/>
      <c r="G20" s="27"/>
    </row>
    <row r="21" customFormat="false" ht="21.75" hidden="false" customHeight="true" outlineLevel="0" collapsed="false">
      <c r="B21" s="35" t="s">
        <v>104</v>
      </c>
      <c r="C21" s="35"/>
      <c r="D21" s="35"/>
      <c r="E21" s="35"/>
      <c r="F21" s="35"/>
      <c r="G21" s="35"/>
    </row>
    <row r="22" customFormat="false" ht="33.75" hidden="false" customHeight="true" outlineLevel="0" collapsed="false">
      <c r="B22" s="32" t="n">
        <v>12</v>
      </c>
      <c r="C22" s="33" t="s">
        <v>105</v>
      </c>
      <c r="D22" s="27" t="s">
        <v>106</v>
      </c>
      <c r="E22" s="32" t="s">
        <v>24</v>
      </c>
      <c r="F22" s="27"/>
      <c r="G22" s="27"/>
    </row>
    <row r="23" customFormat="false" ht="33.75" hidden="false" customHeight="true" outlineLevel="0" collapsed="false">
      <c r="B23" s="32" t="n">
        <v>13</v>
      </c>
      <c r="C23" s="33" t="s">
        <v>107</v>
      </c>
      <c r="D23" s="27" t="s">
        <v>108</v>
      </c>
      <c r="E23" s="32" t="s">
        <v>24</v>
      </c>
      <c r="F23" s="27"/>
      <c r="G23" s="27"/>
    </row>
    <row r="24" customFormat="false" ht="33.75" hidden="false" customHeight="true" outlineLevel="0" collapsed="false">
      <c r="B24" s="32" t="n">
        <v>14</v>
      </c>
      <c r="C24" s="33" t="s">
        <v>109</v>
      </c>
      <c r="D24" s="27" t="s">
        <v>110</v>
      </c>
      <c r="E24" s="32" t="s">
        <v>28</v>
      </c>
      <c r="F24" s="27" t="s">
        <v>248</v>
      </c>
      <c r="G24" s="27" t="s">
        <v>242</v>
      </c>
    </row>
    <row r="25" customFormat="false" ht="33.75" hidden="false" customHeight="true" outlineLevel="0" collapsed="false">
      <c r="B25" s="32" t="n">
        <v>15</v>
      </c>
      <c r="C25" s="33" t="s">
        <v>111</v>
      </c>
      <c r="D25" s="27" t="s">
        <v>112</v>
      </c>
      <c r="E25" s="32" t="s">
        <v>30</v>
      </c>
      <c r="F25" s="27"/>
      <c r="G25" s="27"/>
    </row>
    <row r="26" customFormat="false" ht="33.75" hidden="false" customHeight="true" outlineLevel="0" collapsed="false">
      <c r="B26" s="32" t="n">
        <v>16</v>
      </c>
      <c r="C26" s="33" t="s">
        <v>113</v>
      </c>
      <c r="D26" s="27" t="s">
        <v>114</v>
      </c>
      <c r="E26" s="32" t="s">
        <v>30</v>
      </c>
      <c r="F26" s="27"/>
      <c r="G26" s="27"/>
    </row>
    <row r="27" customFormat="false" ht="21.75" hidden="false" customHeight="true" outlineLevel="0" collapsed="false">
      <c r="B27" s="36" t="s">
        <v>117</v>
      </c>
      <c r="C27" s="36"/>
      <c r="D27" s="36"/>
      <c r="E27" s="36"/>
      <c r="F27" s="36"/>
      <c r="G27" s="36"/>
    </row>
    <row r="28" customFormat="false" ht="33.75" hidden="false" customHeight="true" outlineLevel="0" collapsed="false">
      <c r="B28" s="32" t="n">
        <v>17</v>
      </c>
      <c r="C28" s="33" t="s">
        <v>118</v>
      </c>
      <c r="D28" s="27" t="s">
        <v>119</v>
      </c>
      <c r="E28" s="32" t="s">
        <v>28</v>
      </c>
      <c r="F28" s="27" t="s">
        <v>120</v>
      </c>
      <c r="G28" s="27" t="s">
        <v>121</v>
      </c>
    </row>
    <row r="29" customFormat="false" ht="33.75" hidden="false" customHeight="true" outlineLevel="0" collapsed="false">
      <c r="B29" s="32" t="n">
        <v>18</v>
      </c>
      <c r="C29" s="33" t="s">
        <v>122</v>
      </c>
      <c r="D29" s="27" t="s">
        <v>123</v>
      </c>
      <c r="E29" s="32" t="s">
        <v>24</v>
      </c>
      <c r="F29" s="27"/>
      <c r="G29" s="27"/>
    </row>
    <row r="30" customFormat="false" ht="33.75" hidden="false" customHeight="true" outlineLevel="0" collapsed="false">
      <c r="B30" s="32" t="n">
        <v>19</v>
      </c>
      <c r="C30" s="33" t="s">
        <v>124</v>
      </c>
      <c r="D30" s="27" t="s">
        <v>125</v>
      </c>
      <c r="E30" s="32" t="s">
        <v>30</v>
      </c>
      <c r="F30" s="27"/>
      <c r="G30" s="27"/>
    </row>
    <row r="31" customFormat="false" ht="33.75" hidden="false" customHeight="true" outlineLevel="0" collapsed="false">
      <c r="B31" s="32" t="n">
        <v>20</v>
      </c>
      <c r="C31" s="33" t="s">
        <v>126</v>
      </c>
      <c r="D31" s="27" t="s">
        <v>127</v>
      </c>
      <c r="E31" s="32" t="s">
        <v>24</v>
      </c>
      <c r="F31" s="27"/>
      <c r="G31" s="27"/>
    </row>
    <row r="32" customFormat="false" ht="33.75" hidden="false" customHeight="true" outlineLevel="0" collapsed="false">
      <c r="B32" s="32" t="n">
        <v>21</v>
      </c>
      <c r="C32" s="33" t="s">
        <v>128</v>
      </c>
      <c r="D32" s="27" t="s">
        <v>129</v>
      </c>
      <c r="E32" s="32" t="s">
        <v>28</v>
      </c>
      <c r="F32" s="27" t="s">
        <v>130</v>
      </c>
      <c r="G32" s="27" t="s">
        <v>131</v>
      </c>
    </row>
    <row r="33" customFormat="false" ht="33.75" hidden="false" customHeight="true" outlineLevel="0" collapsed="false">
      <c r="B33" s="32" t="n">
        <v>22</v>
      </c>
      <c r="C33" s="33" t="s">
        <v>132</v>
      </c>
      <c r="D33" s="27" t="s">
        <v>133</v>
      </c>
      <c r="E33" s="32" t="s">
        <v>24</v>
      </c>
      <c r="F33" s="27"/>
      <c r="G33" s="27"/>
    </row>
    <row r="35" customFormat="false" ht="15" hidden="false" customHeight="true" outlineLevel="0" collapsed="false">
      <c r="B35" s="28" t="s">
        <v>134</v>
      </c>
      <c r="C35" s="28"/>
      <c r="D35" s="37" t="n">
        <f aca="false">COUNTIF(E8:E33,"✗ No cumple")</f>
        <v>0</v>
      </c>
    </row>
    <row r="36" customFormat="false" ht="15" hidden="false" customHeight="true" outlineLevel="0" collapsed="false">
      <c r="B36" s="28" t="s">
        <v>135</v>
      </c>
      <c r="C36" s="28"/>
      <c r="D36" s="38" t="n">
        <f aca="false">COUNTIF(E8:E33,"⚠ Revisar")</f>
        <v>4</v>
      </c>
    </row>
    <row r="37" customFormat="false" ht="24" hidden="false" customHeight="true" outlineLevel="0" collapsed="false">
      <c r="B37" s="39" t="s">
        <v>136</v>
      </c>
      <c r="C37" s="39"/>
      <c r="D37" s="40" t="str">
        <f aca="false">IF(D35&gt;0,"RECHAZADA - corregir ambigüedades críticas",IF(D36&gt;0,"APROBADA CON OBSERVACIONES - aclarar pendientes","APROBADA - lista para BDD"))</f>
        <v>APROBADA CON OBSERVACIONES - aclarar pendientes</v>
      </c>
      <c r="E37" s="40"/>
      <c r="F37" s="40"/>
      <c r="G37" s="40"/>
    </row>
  </sheetData>
  <mergeCells count="13">
    <mergeCell ref="B2:G2"/>
    <mergeCell ref="B3:C3"/>
    <mergeCell ref="E3:F3"/>
    <mergeCell ref="B4:G4"/>
    <mergeCell ref="B5:G5"/>
    <mergeCell ref="B8:G8"/>
    <mergeCell ref="B14:G14"/>
    <mergeCell ref="B21:G21"/>
    <mergeCell ref="B27:G27"/>
    <mergeCell ref="B35:C35"/>
    <mergeCell ref="B36:C36"/>
    <mergeCell ref="B37:C37"/>
    <mergeCell ref="D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34"/>
  </cols>
  <sheetData>
    <row r="2" customFormat="false" ht="33.75" hidden="false" customHeight="true" outlineLevel="0" collapsed="false">
      <c r="B2" s="14" t="s">
        <v>66</v>
      </c>
      <c r="C2" s="14"/>
      <c r="D2" s="14"/>
      <c r="E2" s="14"/>
      <c r="F2" s="14"/>
      <c r="G2" s="14"/>
    </row>
    <row r="3" customFormat="false" ht="15" hidden="false" customHeight="true" outlineLevel="0" collapsed="false">
      <c r="B3" s="28" t="s">
        <v>67</v>
      </c>
      <c r="C3" s="28"/>
      <c r="D3" s="29" t="s">
        <v>249</v>
      </c>
      <c r="E3" s="28" t="s">
        <v>69</v>
      </c>
      <c r="F3" s="28"/>
      <c r="G3" s="29" t="s">
        <v>5</v>
      </c>
    </row>
    <row r="4" customFormat="false" ht="15" hidden="false" customHeight="true" outlineLevel="0" collapsed="false">
      <c r="B4" s="28" t="s">
        <v>70</v>
      </c>
      <c r="C4" s="28"/>
      <c r="D4" s="28"/>
      <c r="E4" s="28"/>
      <c r="F4" s="28"/>
      <c r="G4" s="28"/>
    </row>
    <row r="5" customFormat="false" ht="30" hidden="false" customHeight="true" outlineLevel="0" collapsed="false">
      <c r="B5" s="30" t="s">
        <v>250</v>
      </c>
      <c r="C5" s="30"/>
      <c r="D5" s="30"/>
      <c r="E5" s="30"/>
      <c r="F5" s="30"/>
      <c r="G5" s="30"/>
    </row>
    <row r="7" customFormat="false" ht="24" hidden="false" customHeight="true" outlineLevel="0" collapsed="false">
      <c r="B7" s="22" t="s">
        <v>72</v>
      </c>
      <c r="C7" s="22" t="s">
        <v>73</v>
      </c>
      <c r="D7" s="22" t="s">
        <v>74</v>
      </c>
      <c r="E7" s="22" t="s">
        <v>75</v>
      </c>
      <c r="F7" s="22" t="s">
        <v>76</v>
      </c>
      <c r="G7" s="22" t="s">
        <v>77</v>
      </c>
    </row>
    <row r="8" customFormat="false" ht="21.75" hidden="false" customHeight="true" outlineLevel="0" collapsed="false">
      <c r="B8" s="31" t="s">
        <v>78</v>
      </c>
      <c r="C8" s="31"/>
      <c r="D8" s="31"/>
      <c r="E8" s="31"/>
      <c r="F8" s="31"/>
      <c r="G8" s="31"/>
    </row>
    <row r="9" customFormat="false" ht="33.75" hidden="false" customHeight="true" outlineLevel="0" collapsed="false">
      <c r="B9" s="32" t="n">
        <v>1</v>
      </c>
      <c r="C9" s="33" t="s">
        <v>79</v>
      </c>
      <c r="D9" s="27" t="s">
        <v>80</v>
      </c>
      <c r="E9" s="32" t="s">
        <v>24</v>
      </c>
      <c r="F9" s="27"/>
      <c r="G9" s="27"/>
    </row>
    <row r="10" customFormat="false" ht="33.75" hidden="false" customHeight="true" outlineLevel="0" collapsed="false">
      <c r="B10" s="32" t="n">
        <v>2</v>
      </c>
      <c r="C10" s="33" t="s">
        <v>81</v>
      </c>
      <c r="D10" s="27" t="s">
        <v>82</v>
      </c>
      <c r="E10" s="32" t="s">
        <v>28</v>
      </c>
      <c r="F10" s="27" t="s">
        <v>83</v>
      </c>
      <c r="G10" s="27" t="s">
        <v>84</v>
      </c>
    </row>
    <row r="11" customFormat="false" ht="33.75" hidden="false" customHeight="true" outlineLevel="0" collapsed="false">
      <c r="B11" s="32" t="n">
        <v>3</v>
      </c>
      <c r="C11" s="33" t="s">
        <v>85</v>
      </c>
      <c r="D11" s="27" t="s">
        <v>86</v>
      </c>
      <c r="E11" s="32" t="s">
        <v>24</v>
      </c>
      <c r="F11" s="27"/>
      <c r="G11" s="27"/>
    </row>
    <row r="12" customFormat="false" ht="33.75" hidden="false" customHeight="true" outlineLevel="0" collapsed="false">
      <c r="B12" s="32" t="n">
        <v>4</v>
      </c>
      <c r="C12" s="33" t="s">
        <v>87</v>
      </c>
      <c r="D12" s="27" t="s">
        <v>88</v>
      </c>
      <c r="E12" s="32" t="s">
        <v>24</v>
      </c>
      <c r="F12" s="27"/>
      <c r="G12" s="27"/>
    </row>
    <row r="13" customFormat="false" ht="33.75" hidden="false" customHeight="true" outlineLevel="0" collapsed="false">
      <c r="B13" s="32" t="n">
        <v>5</v>
      </c>
      <c r="C13" s="33" t="s">
        <v>89</v>
      </c>
      <c r="D13" s="27" t="s">
        <v>90</v>
      </c>
      <c r="E13" s="32" t="s">
        <v>24</v>
      </c>
      <c r="F13" s="27"/>
      <c r="G13" s="27"/>
    </row>
    <row r="14" customFormat="false" ht="21.75" hidden="false" customHeight="true" outlineLevel="0" collapsed="false">
      <c r="B14" s="34" t="s">
        <v>91</v>
      </c>
      <c r="C14" s="34"/>
      <c r="D14" s="34"/>
      <c r="E14" s="34"/>
      <c r="F14" s="34"/>
      <c r="G14" s="34"/>
    </row>
    <row r="15" customFormat="false" ht="33.75" hidden="false" customHeight="true" outlineLevel="0" collapsed="false">
      <c r="B15" s="32" t="n">
        <v>6</v>
      </c>
      <c r="C15" s="33" t="s">
        <v>92</v>
      </c>
      <c r="D15" s="27" t="s">
        <v>93</v>
      </c>
      <c r="E15" s="32" t="s">
        <v>24</v>
      </c>
      <c r="F15" s="27"/>
      <c r="G15" s="27"/>
    </row>
    <row r="16" customFormat="false" ht="33.75" hidden="false" customHeight="true" outlineLevel="0" collapsed="false">
      <c r="B16" s="32" t="n">
        <v>7</v>
      </c>
      <c r="C16" s="33" t="s">
        <v>94</v>
      </c>
      <c r="D16" s="27" t="s">
        <v>95</v>
      </c>
      <c r="E16" s="32" t="s">
        <v>24</v>
      </c>
      <c r="F16" s="27"/>
      <c r="G16" s="27"/>
    </row>
    <row r="17" customFormat="false" ht="33.75" hidden="false" customHeight="true" outlineLevel="0" collapsed="false">
      <c r="B17" s="32" t="n">
        <v>8</v>
      </c>
      <c r="C17" s="33" t="s">
        <v>96</v>
      </c>
      <c r="D17" s="27" t="s">
        <v>97</v>
      </c>
      <c r="E17" s="32" t="s">
        <v>24</v>
      </c>
      <c r="F17" s="27"/>
      <c r="G17" s="27"/>
    </row>
    <row r="18" customFormat="false" ht="33.75" hidden="false" customHeight="true" outlineLevel="0" collapsed="false">
      <c r="B18" s="32" t="n">
        <v>9</v>
      </c>
      <c r="C18" s="33" t="s">
        <v>98</v>
      </c>
      <c r="D18" s="27" t="s">
        <v>99</v>
      </c>
      <c r="E18" s="32" t="s">
        <v>24</v>
      </c>
      <c r="F18" s="27"/>
      <c r="G18" s="27"/>
    </row>
    <row r="19" customFormat="false" ht="33.75" hidden="false" customHeight="true" outlineLevel="0" collapsed="false">
      <c r="B19" s="32" t="n">
        <v>10</v>
      </c>
      <c r="C19" s="33" t="s">
        <v>100</v>
      </c>
      <c r="D19" s="27" t="s">
        <v>101</v>
      </c>
      <c r="E19" s="32" t="s">
        <v>24</v>
      </c>
      <c r="F19" s="27"/>
      <c r="G19" s="27"/>
    </row>
    <row r="20" customFormat="false" ht="33.75" hidden="false" customHeight="true" outlineLevel="0" collapsed="false">
      <c r="B20" s="32" t="n">
        <v>11</v>
      </c>
      <c r="C20" s="33" t="s">
        <v>102</v>
      </c>
      <c r="D20" s="27" t="s">
        <v>103</v>
      </c>
      <c r="E20" s="32" t="s">
        <v>24</v>
      </c>
      <c r="F20" s="27"/>
      <c r="G20" s="27"/>
    </row>
    <row r="21" customFormat="false" ht="21.75" hidden="false" customHeight="true" outlineLevel="0" collapsed="false">
      <c r="B21" s="35" t="s">
        <v>104</v>
      </c>
      <c r="C21" s="35"/>
      <c r="D21" s="35"/>
      <c r="E21" s="35"/>
      <c r="F21" s="35"/>
      <c r="G21" s="35"/>
    </row>
    <row r="22" customFormat="false" ht="33.75" hidden="false" customHeight="true" outlineLevel="0" collapsed="false">
      <c r="B22" s="32" t="n">
        <v>12</v>
      </c>
      <c r="C22" s="33" t="s">
        <v>105</v>
      </c>
      <c r="D22" s="27" t="s">
        <v>106</v>
      </c>
      <c r="E22" s="32" t="s">
        <v>24</v>
      </c>
      <c r="F22" s="27"/>
      <c r="G22" s="27"/>
    </row>
    <row r="23" customFormat="false" ht="33.75" hidden="false" customHeight="true" outlineLevel="0" collapsed="false">
      <c r="B23" s="32" t="n">
        <v>13</v>
      </c>
      <c r="C23" s="33" t="s">
        <v>107</v>
      </c>
      <c r="D23" s="27" t="s">
        <v>108</v>
      </c>
      <c r="E23" s="32" t="s">
        <v>24</v>
      </c>
      <c r="F23" s="27"/>
      <c r="G23" s="27"/>
    </row>
    <row r="24" customFormat="false" ht="33.75" hidden="false" customHeight="true" outlineLevel="0" collapsed="false">
      <c r="B24" s="32" t="n">
        <v>14</v>
      </c>
      <c r="C24" s="33" t="s">
        <v>109</v>
      </c>
      <c r="D24" s="27" t="s">
        <v>110</v>
      </c>
      <c r="E24" s="32" t="s">
        <v>30</v>
      </c>
      <c r="F24" s="27"/>
      <c r="G24" s="27"/>
    </row>
    <row r="25" customFormat="false" ht="33.75" hidden="false" customHeight="true" outlineLevel="0" collapsed="false">
      <c r="B25" s="32" t="n">
        <v>15</v>
      </c>
      <c r="C25" s="33" t="s">
        <v>111</v>
      </c>
      <c r="D25" s="27" t="s">
        <v>112</v>
      </c>
      <c r="E25" s="32" t="s">
        <v>30</v>
      </c>
      <c r="F25" s="27"/>
      <c r="G25" s="27"/>
    </row>
    <row r="26" customFormat="false" ht="33.75" hidden="false" customHeight="true" outlineLevel="0" collapsed="false">
      <c r="B26" s="32" t="n">
        <v>16</v>
      </c>
      <c r="C26" s="33" t="s">
        <v>113</v>
      </c>
      <c r="D26" s="27" t="s">
        <v>114</v>
      </c>
      <c r="E26" s="32" t="s">
        <v>30</v>
      </c>
      <c r="F26" s="27"/>
      <c r="G26" s="27"/>
    </row>
    <row r="27" customFormat="false" ht="21.75" hidden="false" customHeight="true" outlineLevel="0" collapsed="false">
      <c r="B27" s="36" t="s">
        <v>117</v>
      </c>
      <c r="C27" s="36"/>
      <c r="D27" s="36"/>
      <c r="E27" s="36"/>
      <c r="F27" s="36"/>
      <c r="G27" s="36"/>
    </row>
    <row r="28" customFormat="false" ht="33.75" hidden="false" customHeight="true" outlineLevel="0" collapsed="false">
      <c r="B28" s="32" t="n">
        <v>17</v>
      </c>
      <c r="C28" s="33" t="s">
        <v>118</v>
      </c>
      <c r="D28" s="27" t="s">
        <v>119</v>
      </c>
      <c r="E28" s="32" t="s">
        <v>28</v>
      </c>
      <c r="F28" s="27" t="s">
        <v>120</v>
      </c>
      <c r="G28" s="27" t="s">
        <v>121</v>
      </c>
    </row>
    <row r="29" customFormat="false" ht="33.75" hidden="false" customHeight="true" outlineLevel="0" collapsed="false">
      <c r="B29" s="32" t="n">
        <v>18</v>
      </c>
      <c r="C29" s="33" t="s">
        <v>122</v>
      </c>
      <c r="D29" s="27" t="s">
        <v>123</v>
      </c>
      <c r="E29" s="32" t="s">
        <v>24</v>
      </c>
      <c r="F29" s="27"/>
      <c r="G29" s="27"/>
    </row>
    <row r="30" customFormat="false" ht="33.75" hidden="false" customHeight="true" outlineLevel="0" collapsed="false">
      <c r="B30" s="32" t="n">
        <v>19</v>
      </c>
      <c r="C30" s="33" t="s">
        <v>124</v>
      </c>
      <c r="D30" s="27" t="s">
        <v>125</v>
      </c>
      <c r="E30" s="32" t="s">
        <v>30</v>
      </c>
      <c r="F30" s="27"/>
      <c r="G30" s="27"/>
    </row>
    <row r="31" customFormat="false" ht="33.75" hidden="false" customHeight="true" outlineLevel="0" collapsed="false">
      <c r="B31" s="32" t="n">
        <v>20</v>
      </c>
      <c r="C31" s="33" t="s">
        <v>126</v>
      </c>
      <c r="D31" s="27" t="s">
        <v>127</v>
      </c>
      <c r="E31" s="32" t="s">
        <v>24</v>
      </c>
      <c r="F31" s="27"/>
      <c r="G31" s="27"/>
    </row>
    <row r="32" customFormat="false" ht="33.75" hidden="false" customHeight="true" outlineLevel="0" collapsed="false">
      <c r="B32" s="32" t="n">
        <v>21</v>
      </c>
      <c r="C32" s="33" t="s">
        <v>128</v>
      </c>
      <c r="D32" s="27" t="s">
        <v>129</v>
      </c>
      <c r="E32" s="32" t="s">
        <v>28</v>
      </c>
      <c r="F32" s="27" t="s">
        <v>130</v>
      </c>
      <c r="G32" s="27" t="s">
        <v>131</v>
      </c>
    </row>
    <row r="33" customFormat="false" ht="33.75" hidden="false" customHeight="true" outlineLevel="0" collapsed="false">
      <c r="B33" s="32" t="n">
        <v>22</v>
      </c>
      <c r="C33" s="33" t="s">
        <v>132</v>
      </c>
      <c r="D33" s="27" t="s">
        <v>133</v>
      </c>
      <c r="E33" s="32" t="s">
        <v>24</v>
      </c>
      <c r="F33" s="27"/>
      <c r="G33" s="27"/>
    </row>
    <row r="35" customFormat="false" ht="15" hidden="false" customHeight="true" outlineLevel="0" collapsed="false">
      <c r="B35" s="28" t="s">
        <v>134</v>
      </c>
      <c r="C35" s="28"/>
      <c r="D35" s="37" t="n">
        <f aca="false">COUNTIF(E8:E33,"✗ No cumple")</f>
        <v>0</v>
      </c>
    </row>
    <row r="36" customFormat="false" ht="15" hidden="false" customHeight="true" outlineLevel="0" collapsed="false">
      <c r="B36" s="28" t="s">
        <v>135</v>
      </c>
      <c r="C36" s="28"/>
      <c r="D36" s="38" t="n">
        <f aca="false">COUNTIF(E8:E33,"⚠ Revisar")</f>
        <v>3</v>
      </c>
    </row>
    <row r="37" customFormat="false" ht="24" hidden="false" customHeight="true" outlineLevel="0" collapsed="false">
      <c r="B37" s="39" t="s">
        <v>136</v>
      </c>
      <c r="C37" s="39"/>
      <c r="D37" s="40" t="str">
        <f aca="false">IF(D35&gt;0,"RECHAZADA - corregir ambigüedades críticas",IF(D36&gt;0,"APROBADA CON OBSERVACIONES - aclarar pendientes","APROBADA - lista para BDD"))</f>
        <v>APROBADA CON OBSERVACIONES - aclarar pendientes</v>
      </c>
      <c r="E37" s="40"/>
      <c r="F37" s="40"/>
      <c r="G37" s="40"/>
    </row>
  </sheetData>
  <mergeCells count="13">
    <mergeCell ref="B2:G2"/>
    <mergeCell ref="B3:C3"/>
    <mergeCell ref="E3:F3"/>
    <mergeCell ref="B4:G4"/>
    <mergeCell ref="B5:G5"/>
    <mergeCell ref="B8:G8"/>
    <mergeCell ref="B14:G14"/>
    <mergeCell ref="B21:G21"/>
    <mergeCell ref="B27:G27"/>
    <mergeCell ref="B35:C35"/>
    <mergeCell ref="B36:C36"/>
    <mergeCell ref="B37:C37"/>
    <mergeCell ref="D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34"/>
  </cols>
  <sheetData>
    <row r="2" customFormat="false" ht="33.75" hidden="false" customHeight="true" outlineLevel="0" collapsed="false">
      <c r="B2" s="14" t="s">
        <v>66</v>
      </c>
      <c r="C2" s="14"/>
      <c r="D2" s="14"/>
      <c r="E2" s="14"/>
      <c r="F2" s="14"/>
      <c r="G2" s="14"/>
    </row>
    <row r="3" customFormat="false" ht="15" hidden="false" customHeight="true" outlineLevel="0" collapsed="false">
      <c r="B3" s="28" t="s">
        <v>67</v>
      </c>
      <c r="C3" s="28"/>
      <c r="D3" s="29" t="s">
        <v>251</v>
      </c>
      <c r="E3" s="28" t="s">
        <v>69</v>
      </c>
      <c r="F3" s="28"/>
      <c r="G3" s="29" t="s">
        <v>5</v>
      </c>
    </row>
    <row r="4" customFormat="false" ht="15" hidden="false" customHeight="true" outlineLevel="0" collapsed="false">
      <c r="B4" s="28" t="s">
        <v>252</v>
      </c>
      <c r="C4" s="28"/>
      <c r="D4" s="28"/>
      <c r="E4" s="28"/>
      <c r="F4" s="28"/>
      <c r="G4" s="28"/>
    </row>
    <row r="5" customFormat="false" ht="30" hidden="false" customHeight="true" outlineLevel="0" collapsed="false">
      <c r="B5" s="30" t="s">
        <v>253</v>
      </c>
      <c r="C5" s="30"/>
      <c r="D5" s="30"/>
      <c r="E5" s="30"/>
      <c r="F5" s="30"/>
      <c r="G5" s="30"/>
    </row>
    <row r="7" customFormat="false" ht="24" hidden="false" customHeight="true" outlineLevel="0" collapsed="false">
      <c r="B7" s="22" t="s">
        <v>72</v>
      </c>
      <c r="C7" s="22" t="s">
        <v>73</v>
      </c>
      <c r="D7" s="22" t="s">
        <v>74</v>
      </c>
      <c r="E7" s="22" t="s">
        <v>75</v>
      </c>
      <c r="F7" s="22" t="s">
        <v>76</v>
      </c>
      <c r="G7" s="22" t="s">
        <v>77</v>
      </c>
    </row>
    <row r="8" customFormat="false" ht="21.75" hidden="false" customHeight="true" outlineLevel="0" collapsed="false">
      <c r="B8" s="31" t="s">
        <v>78</v>
      </c>
      <c r="C8" s="31"/>
      <c r="D8" s="31"/>
      <c r="E8" s="31"/>
      <c r="F8" s="31"/>
      <c r="G8" s="31"/>
    </row>
    <row r="9" customFormat="false" ht="33.75" hidden="false" customHeight="true" outlineLevel="0" collapsed="false">
      <c r="B9" s="32" t="n">
        <v>1</v>
      </c>
      <c r="C9" s="33" t="s">
        <v>79</v>
      </c>
      <c r="D9" s="27" t="s">
        <v>80</v>
      </c>
      <c r="E9" s="32" t="s">
        <v>24</v>
      </c>
      <c r="F9" s="27"/>
      <c r="G9" s="27"/>
    </row>
    <row r="10" customFormat="false" ht="33.75" hidden="false" customHeight="true" outlineLevel="0" collapsed="false">
      <c r="B10" s="32" t="n">
        <v>2</v>
      </c>
      <c r="C10" s="33" t="s">
        <v>81</v>
      </c>
      <c r="D10" s="27" t="s">
        <v>82</v>
      </c>
      <c r="E10" s="32" t="s">
        <v>28</v>
      </c>
      <c r="F10" s="27" t="s">
        <v>83</v>
      </c>
      <c r="G10" s="27" t="s">
        <v>84</v>
      </c>
    </row>
    <row r="11" customFormat="false" ht="33.75" hidden="false" customHeight="true" outlineLevel="0" collapsed="false">
      <c r="B11" s="32" t="n">
        <v>3</v>
      </c>
      <c r="C11" s="33" t="s">
        <v>85</v>
      </c>
      <c r="D11" s="27" t="s">
        <v>86</v>
      </c>
      <c r="E11" s="32" t="s">
        <v>24</v>
      </c>
      <c r="F11" s="27"/>
      <c r="G11" s="27"/>
    </row>
    <row r="12" customFormat="false" ht="33.75" hidden="false" customHeight="true" outlineLevel="0" collapsed="false">
      <c r="B12" s="32" t="n">
        <v>4</v>
      </c>
      <c r="C12" s="33" t="s">
        <v>87</v>
      </c>
      <c r="D12" s="27" t="s">
        <v>88</v>
      </c>
      <c r="E12" s="32" t="s">
        <v>24</v>
      </c>
      <c r="F12" s="27"/>
      <c r="G12" s="27"/>
    </row>
    <row r="13" customFormat="false" ht="33.75" hidden="false" customHeight="true" outlineLevel="0" collapsed="false">
      <c r="B13" s="32" t="n">
        <v>5</v>
      </c>
      <c r="C13" s="33" t="s">
        <v>89</v>
      </c>
      <c r="D13" s="27" t="s">
        <v>90</v>
      </c>
      <c r="E13" s="32" t="s">
        <v>24</v>
      </c>
      <c r="F13" s="27"/>
      <c r="G13" s="27"/>
    </row>
    <row r="14" customFormat="false" ht="21.75" hidden="false" customHeight="true" outlineLevel="0" collapsed="false">
      <c r="B14" s="34" t="s">
        <v>91</v>
      </c>
      <c r="C14" s="34"/>
      <c r="D14" s="34"/>
      <c r="E14" s="34"/>
      <c r="F14" s="34"/>
      <c r="G14" s="34"/>
    </row>
    <row r="15" customFormat="false" ht="33.75" hidden="false" customHeight="true" outlineLevel="0" collapsed="false">
      <c r="B15" s="32" t="n">
        <v>6</v>
      </c>
      <c r="C15" s="33" t="s">
        <v>92</v>
      </c>
      <c r="D15" s="27" t="s">
        <v>93</v>
      </c>
      <c r="E15" s="32" t="s">
        <v>28</v>
      </c>
      <c r="F15" s="27" t="s">
        <v>254</v>
      </c>
      <c r="G15" s="27" t="s">
        <v>255</v>
      </c>
    </row>
    <row r="16" customFormat="false" ht="33.75" hidden="false" customHeight="true" outlineLevel="0" collapsed="false">
      <c r="B16" s="32" t="n">
        <v>7</v>
      </c>
      <c r="C16" s="33" t="s">
        <v>94</v>
      </c>
      <c r="D16" s="27" t="s">
        <v>95</v>
      </c>
      <c r="E16" s="32" t="s">
        <v>24</v>
      </c>
      <c r="F16" s="27"/>
      <c r="G16" s="27"/>
    </row>
    <row r="17" customFormat="false" ht="33.75" hidden="false" customHeight="true" outlineLevel="0" collapsed="false">
      <c r="B17" s="32" t="n">
        <v>8</v>
      </c>
      <c r="C17" s="33" t="s">
        <v>96</v>
      </c>
      <c r="D17" s="27" t="s">
        <v>97</v>
      </c>
      <c r="E17" s="32" t="s">
        <v>24</v>
      </c>
      <c r="F17" s="27"/>
      <c r="G17" s="27"/>
    </row>
    <row r="18" customFormat="false" ht="33.75" hidden="false" customHeight="true" outlineLevel="0" collapsed="false">
      <c r="B18" s="32" t="n">
        <v>9</v>
      </c>
      <c r="C18" s="33" t="s">
        <v>98</v>
      </c>
      <c r="D18" s="27" t="s">
        <v>99</v>
      </c>
      <c r="E18" s="32" t="s">
        <v>24</v>
      </c>
      <c r="F18" s="27"/>
      <c r="G18" s="27"/>
    </row>
    <row r="19" customFormat="false" ht="33.75" hidden="false" customHeight="true" outlineLevel="0" collapsed="false">
      <c r="B19" s="32" t="n">
        <v>10</v>
      </c>
      <c r="C19" s="33" t="s">
        <v>100</v>
      </c>
      <c r="D19" s="27" t="s">
        <v>101</v>
      </c>
      <c r="E19" s="32" t="s">
        <v>24</v>
      </c>
      <c r="F19" s="27"/>
      <c r="G19" s="27"/>
    </row>
    <row r="20" customFormat="false" ht="33.75" hidden="false" customHeight="true" outlineLevel="0" collapsed="false">
      <c r="B20" s="32" t="n">
        <v>11</v>
      </c>
      <c r="C20" s="33" t="s">
        <v>102</v>
      </c>
      <c r="D20" s="27" t="s">
        <v>103</v>
      </c>
      <c r="E20" s="32" t="s">
        <v>24</v>
      </c>
      <c r="F20" s="27"/>
      <c r="G20" s="27"/>
    </row>
    <row r="21" customFormat="false" ht="21.75" hidden="false" customHeight="true" outlineLevel="0" collapsed="false">
      <c r="B21" s="35" t="s">
        <v>104</v>
      </c>
      <c r="C21" s="35"/>
      <c r="D21" s="35"/>
      <c r="E21" s="35"/>
      <c r="F21" s="35"/>
      <c r="G21" s="35"/>
    </row>
    <row r="22" customFormat="false" ht="33.75" hidden="false" customHeight="true" outlineLevel="0" collapsed="false">
      <c r="B22" s="32" t="n">
        <v>12</v>
      </c>
      <c r="C22" s="33" t="s">
        <v>105</v>
      </c>
      <c r="D22" s="27" t="s">
        <v>106</v>
      </c>
      <c r="E22" s="32" t="s">
        <v>24</v>
      </c>
      <c r="F22" s="27"/>
      <c r="G22" s="27"/>
    </row>
    <row r="23" customFormat="false" ht="33.75" hidden="false" customHeight="true" outlineLevel="0" collapsed="false">
      <c r="B23" s="32" t="n">
        <v>13</v>
      </c>
      <c r="C23" s="33" t="s">
        <v>107</v>
      </c>
      <c r="D23" s="27" t="s">
        <v>108</v>
      </c>
      <c r="E23" s="32" t="s">
        <v>24</v>
      </c>
      <c r="F23" s="27"/>
      <c r="G23" s="27"/>
    </row>
    <row r="24" customFormat="false" ht="33.75" hidden="false" customHeight="true" outlineLevel="0" collapsed="false">
      <c r="B24" s="32" t="n">
        <v>14</v>
      </c>
      <c r="C24" s="33" t="s">
        <v>109</v>
      </c>
      <c r="D24" s="27" t="s">
        <v>110</v>
      </c>
      <c r="E24" s="32" t="s">
        <v>30</v>
      </c>
      <c r="F24" s="27"/>
      <c r="G24" s="27"/>
    </row>
    <row r="25" customFormat="false" ht="33.75" hidden="false" customHeight="true" outlineLevel="0" collapsed="false">
      <c r="B25" s="32" t="n">
        <v>15</v>
      </c>
      <c r="C25" s="33" t="s">
        <v>111</v>
      </c>
      <c r="D25" s="27" t="s">
        <v>112</v>
      </c>
      <c r="E25" s="32" t="s">
        <v>30</v>
      </c>
      <c r="F25" s="27"/>
      <c r="G25" s="27"/>
    </row>
    <row r="26" customFormat="false" ht="33.75" hidden="false" customHeight="true" outlineLevel="0" collapsed="false">
      <c r="B26" s="32" t="n">
        <v>16</v>
      </c>
      <c r="C26" s="33" t="s">
        <v>113</v>
      </c>
      <c r="D26" s="27" t="s">
        <v>114</v>
      </c>
      <c r="E26" s="32" t="s">
        <v>28</v>
      </c>
      <c r="F26" s="27" t="s">
        <v>256</v>
      </c>
      <c r="G26" s="27" t="s">
        <v>257</v>
      </c>
    </row>
    <row r="27" customFormat="false" ht="21.75" hidden="false" customHeight="true" outlineLevel="0" collapsed="false">
      <c r="B27" s="36" t="s">
        <v>117</v>
      </c>
      <c r="C27" s="36"/>
      <c r="D27" s="36"/>
      <c r="E27" s="36"/>
      <c r="F27" s="36"/>
      <c r="G27" s="36"/>
    </row>
    <row r="28" customFormat="false" ht="33.75" hidden="false" customHeight="true" outlineLevel="0" collapsed="false">
      <c r="B28" s="32" t="n">
        <v>17</v>
      </c>
      <c r="C28" s="33" t="s">
        <v>118</v>
      </c>
      <c r="D28" s="27" t="s">
        <v>119</v>
      </c>
      <c r="E28" s="32" t="s">
        <v>28</v>
      </c>
      <c r="F28" s="27" t="s">
        <v>120</v>
      </c>
      <c r="G28" s="27" t="s">
        <v>121</v>
      </c>
    </row>
    <row r="29" customFormat="false" ht="33.75" hidden="false" customHeight="true" outlineLevel="0" collapsed="false">
      <c r="B29" s="32" t="n">
        <v>18</v>
      </c>
      <c r="C29" s="33" t="s">
        <v>122</v>
      </c>
      <c r="D29" s="27" t="s">
        <v>123</v>
      </c>
      <c r="E29" s="32" t="s">
        <v>28</v>
      </c>
      <c r="F29" s="27" t="s">
        <v>258</v>
      </c>
      <c r="G29" s="27" t="s">
        <v>170</v>
      </c>
    </row>
    <row r="30" customFormat="false" ht="33.75" hidden="false" customHeight="true" outlineLevel="0" collapsed="false">
      <c r="B30" s="32" t="n">
        <v>19</v>
      </c>
      <c r="C30" s="33" t="s">
        <v>124</v>
      </c>
      <c r="D30" s="27" t="s">
        <v>125</v>
      </c>
      <c r="E30" s="32" t="s">
        <v>30</v>
      </c>
      <c r="F30" s="27"/>
      <c r="G30" s="27"/>
    </row>
    <row r="31" customFormat="false" ht="33.75" hidden="false" customHeight="true" outlineLevel="0" collapsed="false">
      <c r="B31" s="32" t="n">
        <v>20</v>
      </c>
      <c r="C31" s="33" t="s">
        <v>126</v>
      </c>
      <c r="D31" s="27" t="s">
        <v>127</v>
      </c>
      <c r="E31" s="32" t="s">
        <v>24</v>
      </c>
      <c r="F31" s="27"/>
      <c r="G31" s="27"/>
    </row>
    <row r="32" customFormat="false" ht="33.75" hidden="false" customHeight="true" outlineLevel="0" collapsed="false">
      <c r="B32" s="32" t="n">
        <v>21</v>
      </c>
      <c r="C32" s="33" t="s">
        <v>128</v>
      </c>
      <c r="D32" s="27" t="s">
        <v>129</v>
      </c>
      <c r="E32" s="32" t="s">
        <v>28</v>
      </c>
      <c r="F32" s="27" t="s">
        <v>130</v>
      </c>
      <c r="G32" s="27" t="s">
        <v>131</v>
      </c>
    </row>
    <row r="33" customFormat="false" ht="33.75" hidden="false" customHeight="true" outlineLevel="0" collapsed="false">
      <c r="B33" s="32" t="n">
        <v>22</v>
      </c>
      <c r="C33" s="33" t="s">
        <v>132</v>
      </c>
      <c r="D33" s="27" t="s">
        <v>133</v>
      </c>
      <c r="E33" s="32" t="s">
        <v>24</v>
      </c>
      <c r="F33" s="27"/>
      <c r="G33" s="27"/>
    </row>
    <row r="35" customFormat="false" ht="15" hidden="false" customHeight="true" outlineLevel="0" collapsed="false">
      <c r="B35" s="28" t="s">
        <v>134</v>
      </c>
      <c r="C35" s="28"/>
      <c r="D35" s="37" t="n">
        <f aca="false">COUNTIF(E8:E33,"✗ No cumple")</f>
        <v>0</v>
      </c>
    </row>
    <row r="36" customFormat="false" ht="15" hidden="false" customHeight="true" outlineLevel="0" collapsed="false">
      <c r="B36" s="28" t="s">
        <v>135</v>
      </c>
      <c r="C36" s="28"/>
      <c r="D36" s="38" t="n">
        <f aca="false">COUNTIF(E8:E33,"⚠ Revisar")</f>
        <v>6</v>
      </c>
    </row>
    <row r="37" customFormat="false" ht="24" hidden="false" customHeight="true" outlineLevel="0" collapsed="false">
      <c r="B37" s="39" t="s">
        <v>136</v>
      </c>
      <c r="C37" s="39"/>
      <c r="D37" s="40" t="str">
        <f aca="false">IF(D35&gt;0,"RECHAZADA - corregir ambigüedades críticas",IF(D36&gt;0,"APROBADA CON OBSERVACIONES - aclarar pendientes","APROBADA - lista para BDD"))</f>
        <v>APROBADA CON OBSERVACIONES - aclarar pendientes</v>
      </c>
      <c r="E37" s="40"/>
      <c r="F37" s="40"/>
      <c r="G37" s="40"/>
    </row>
  </sheetData>
  <mergeCells count="13">
    <mergeCell ref="B2:G2"/>
    <mergeCell ref="B3:C3"/>
    <mergeCell ref="E3:F3"/>
    <mergeCell ref="B4:G4"/>
    <mergeCell ref="B5:G5"/>
    <mergeCell ref="B8:G8"/>
    <mergeCell ref="B14:G14"/>
    <mergeCell ref="B21:G21"/>
    <mergeCell ref="B27:G27"/>
    <mergeCell ref="B35:C35"/>
    <mergeCell ref="B36:C36"/>
    <mergeCell ref="B37:C37"/>
    <mergeCell ref="D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34"/>
  </cols>
  <sheetData>
    <row r="2" customFormat="false" ht="33.75" hidden="false" customHeight="true" outlineLevel="0" collapsed="false">
      <c r="B2" s="14" t="s">
        <v>66</v>
      </c>
      <c r="C2" s="14"/>
      <c r="D2" s="14"/>
      <c r="E2" s="14"/>
      <c r="F2" s="14"/>
      <c r="G2" s="14"/>
    </row>
    <row r="3" customFormat="false" ht="15" hidden="false" customHeight="true" outlineLevel="0" collapsed="false">
      <c r="B3" s="28" t="s">
        <v>67</v>
      </c>
      <c r="C3" s="28"/>
      <c r="D3" s="29" t="s">
        <v>259</v>
      </c>
      <c r="E3" s="28" t="s">
        <v>69</v>
      </c>
      <c r="F3" s="28"/>
      <c r="G3" s="29" t="s">
        <v>5</v>
      </c>
    </row>
    <row r="4" customFormat="false" ht="15" hidden="false" customHeight="true" outlineLevel="0" collapsed="false">
      <c r="B4" s="28" t="s">
        <v>260</v>
      </c>
      <c r="C4" s="28"/>
      <c r="D4" s="28"/>
      <c r="E4" s="28"/>
      <c r="F4" s="28"/>
      <c r="G4" s="28"/>
    </row>
    <row r="5" customFormat="false" ht="30" hidden="false" customHeight="true" outlineLevel="0" collapsed="false">
      <c r="B5" s="30" t="s">
        <v>261</v>
      </c>
      <c r="C5" s="30"/>
      <c r="D5" s="30"/>
      <c r="E5" s="30"/>
      <c r="F5" s="30"/>
      <c r="G5" s="30"/>
    </row>
    <row r="7" customFormat="false" ht="24" hidden="false" customHeight="true" outlineLevel="0" collapsed="false">
      <c r="B7" s="22" t="s">
        <v>72</v>
      </c>
      <c r="C7" s="22" t="s">
        <v>73</v>
      </c>
      <c r="D7" s="22" t="s">
        <v>74</v>
      </c>
      <c r="E7" s="22" t="s">
        <v>75</v>
      </c>
      <c r="F7" s="22" t="s">
        <v>76</v>
      </c>
      <c r="G7" s="22" t="s">
        <v>77</v>
      </c>
    </row>
    <row r="8" customFormat="false" ht="21.75" hidden="false" customHeight="true" outlineLevel="0" collapsed="false">
      <c r="B8" s="31" t="s">
        <v>78</v>
      </c>
      <c r="C8" s="31"/>
      <c r="D8" s="31"/>
      <c r="E8" s="31"/>
      <c r="F8" s="31"/>
      <c r="G8" s="31"/>
    </row>
    <row r="9" customFormat="false" ht="33.75" hidden="false" customHeight="true" outlineLevel="0" collapsed="false">
      <c r="B9" s="32" t="n">
        <v>1</v>
      </c>
      <c r="C9" s="33" t="s">
        <v>79</v>
      </c>
      <c r="D9" s="27" t="s">
        <v>80</v>
      </c>
      <c r="E9" s="32" t="s">
        <v>24</v>
      </c>
      <c r="F9" s="27"/>
      <c r="G9" s="27"/>
    </row>
    <row r="10" customFormat="false" ht="33.75" hidden="false" customHeight="true" outlineLevel="0" collapsed="false">
      <c r="B10" s="32" t="n">
        <v>2</v>
      </c>
      <c r="C10" s="33" t="s">
        <v>81</v>
      </c>
      <c r="D10" s="27" t="s">
        <v>82</v>
      </c>
      <c r="E10" s="32" t="s">
        <v>28</v>
      </c>
      <c r="F10" s="27" t="s">
        <v>83</v>
      </c>
      <c r="G10" s="27" t="s">
        <v>84</v>
      </c>
    </row>
    <row r="11" customFormat="false" ht="33.75" hidden="false" customHeight="true" outlineLevel="0" collapsed="false">
      <c r="B11" s="32" t="n">
        <v>3</v>
      </c>
      <c r="C11" s="33" t="s">
        <v>85</v>
      </c>
      <c r="D11" s="27" t="s">
        <v>86</v>
      </c>
      <c r="E11" s="32" t="s">
        <v>24</v>
      </c>
      <c r="F11" s="27"/>
      <c r="G11" s="27"/>
    </row>
    <row r="12" customFormat="false" ht="33.75" hidden="false" customHeight="true" outlineLevel="0" collapsed="false">
      <c r="B12" s="32" t="n">
        <v>4</v>
      </c>
      <c r="C12" s="33" t="s">
        <v>87</v>
      </c>
      <c r="D12" s="27" t="s">
        <v>88</v>
      </c>
      <c r="E12" s="32" t="s">
        <v>24</v>
      </c>
      <c r="F12" s="27"/>
      <c r="G12" s="27"/>
    </row>
    <row r="13" customFormat="false" ht="33.75" hidden="false" customHeight="true" outlineLevel="0" collapsed="false">
      <c r="B13" s="32" t="n">
        <v>5</v>
      </c>
      <c r="C13" s="33" t="s">
        <v>89</v>
      </c>
      <c r="D13" s="27" t="s">
        <v>90</v>
      </c>
      <c r="E13" s="32" t="s">
        <v>24</v>
      </c>
      <c r="F13" s="27"/>
      <c r="G13" s="27"/>
    </row>
    <row r="14" customFormat="false" ht="21.75" hidden="false" customHeight="true" outlineLevel="0" collapsed="false">
      <c r="B14" s="34" t="s">
        <v>91</v>
      </c>
      <c r="C14" s="34"/>
      <c r="D14" s="34"/>
      <c r="E14" s="34"/>
      <c r="F14" s="34"/>
      <c r="G14" s="34"/>
    </row>
    <row r="15" customFormat="false" ht="33.75" hidden="false" customHeight="true" outlineLevel="0" collapsed="false">
      <c r="B15" s="32" t="n">
        <v>6</v>
      </c>
      <c r="C15" s="33" t="s">
        <v>92</v>
      </c>
      <c r="D15" s="27" t="s">
        <v>93</v>
      </c>
      <c r="E15" s="32" t="s">
        <v>24</v>
      </c>
      <c r="F15" s="27"/>
      <c r="G15" s="27"/>
    </row>
    <row r="16" customFormat="false" ht="33.75" hidden="false" customHeight="true" outlineLevel="0" collapsed="false">
      <c r="B16" s="32" t="n">
        <v>7</v>
      </c>
      <c r="C16" s="33" t="s">
        <v>94</v>
      </c>
      <c r="D16" s="27" t="s">
        <v>95</v>
      </c>
      <c r="E16" s="32" t="s">
        <v>24</v>
      </c>
      <c r="F16" s="27"/>
      <c r="G16" s="27"/>
    </row>
    <row r="17" customFormat="false" ht="33.75" hidden="false" customHeight="true" outlineLevel="0" collapsed="false">
      <c r="B17" s="32" t="n">
        <v>8</v>
      </c>
      <c r="C17" s="33" t="s">
        <v>96</v>
      </c>
      <c r="D17" s="27" t="s">
        <v>97</v>
      </c>
      <c r="E17" s="32" t="s">
        <v>24</v>
      </c>
      <c r="F17" s="27"/>
      <c r="G17" s="27"/>
    </row>
    <row r="18" customFormat="false" ht="33.75" hidden="false" customHeight="true" outlineLevel="0" collapsed="false">
      <c r="B18" s="32" t="n">
        <v>9</v>
      </c>
      <c r="C18" s="33" t="s">
        <v>98</v>
      </c>
      <c r="D18" s="27" t="s">
        <v>99</v>
      </c>
      <c r="E18" s="32" t="s">
        <v>24</v>
      </c>
      <c r="F18" s="27"/>
      <c r="G18" s="27"/>
    </row>
    <row r="19" customFormat="false" ht="33.75" hidden="false" customHeight="true" outlineLevel="0" collapsed="false">
      <c r="B19" s="32" t="n">
        <v>10</v>
      </c>
      <c r="C19" s="33" t="s">
        <v>100</v>
      </c>
      <c r="D19" s="27" t="s">
        <v>101</v>
      </c>
      <c r="E19" s="32" t="s">
        <v>24</v>
      </c>
      <c r="F19" s="27"/>
      <c r="G19" s="27"/>
    </row>
    <row r="20" customFormat="false" ht="33.75" hidden="false" customHeight="true" outlineLevel="0" collapsed="false">
      <c r="B20" s="32" t="n">
        <v>11</v>
      </c>
      <c r="C20" s="33" t="s">
        <v>102</v>
      </c>
      <c r="D20" s="27" t="s">
        <v>103</v>
      </c>
      <c r="E20" s="32" t="s">
        <v>24</v>
      </c>
      <c r="F20" s="27"/>
      <c r="G20" s="27"/>
    </row>
    <row r="21" customFormat="false" ht="21.75" hidden="false" customHeight="true" outlineLevel="0" collapsed="false">
      <c r="B21" s="35" t="s">
        <v>104</v>
      </c>
      <c r="C21" s="35"/>
      <c r="D21" s="35"/>
      <c r="E21" s="35"/>
      <c r="F21" s="35"/>
      <c r="G21" s="35"/>
    </row>
    <row r="22" customFormat="false" ht="33.75" hidden="false" customHeight="true" outlineLevel="0" collapsed="false">
      <c r="B22" s="32" t="n">
        <v>12</v>
      </c>
      <c r="C22" s="33" t="s">
        <v>105</v>
      </c>
      <c r="D22" s="27" t="s">
        <v>106</v>
      </c>
      <c r="E22" s="32" t="s">
        <v>24</v>
      </c>
      <c r="F22" s="27"/>
      <c r="G22" s="27"/>
    </row>
    <row r="23" customFormat="false" ht="33.75" hidden="false" customHeight="true" outlineLevel="0" collapsed="false">
      <c r="B23" s="32" t="n">
        <v>13</v>
      </c>
      <c r="C23" s="33" t="s">
        <v>107</v>
      </c>
      <c r="D23" s="27" t="s">
        <v>108</v>
      </c>
      <c r="E23" s="32" t="s">
        <v>24</v>
      </c>
      <c r="F23" s="27"/>
      <c r="G23" s="27"/>
    </row>
    <row r="24" customFormat="false" ht="33.75" hidden="false" customHeight="true" outlineLevel="0" collapsed="false">
      <c r="B24" s="32" t="n">
        <v>14</v>
      </c>
      <c r="C24" s="33" t="s">
        <v>109</v>
      </c>
      <c r="D24" s="27" t="s">
        <v>110</v>
      </c>
      <c r="E24" s="32" t="s">
        <v>24</v>
      </c>
      <c r="F24" s="27"/>
      <c r="G24" s="27"/>
    </row>
    <row r="25" customFormat="false" ht="33.75" hidden="false" customHeight="true" outlineLevel="0" collapsed="false">
      <c r="B25" s="32" t="n">
        <v>15</v>
      </c>
      <c r="C25" s="33" t="s">
        <v>111</v>
      </c>
      <c r="D25" s="27" t="s">
        <v>112</v>
      </c>
      <c r="E25" s="32" t="s">
        <v>30</v>
      </c>
      <c r="F25" s="27"/>
      <c r="G25" s="27"/>
    </row>
    <row r="26" customFormat="false" ht="33.75" hidden="false" customHeight="true" outlineLevel="0" collapsed="false">
      <c r="B26" s="32" t="n">
        <v>16</v>
      </c>
      <c r="C26" s="33" t="s">
        <v>113</v>
      </c>
      <c r="D26" s="27" t="s">
        <v>114</v>
      </c>
      <c r="E26" s="32" t="s">
        <v>30</v>
      </c>
      <c r="F26" s="27"/>
      <c r="G26" s="27"/>
    </row>
    <row r="27" customFormat="false" ht="21.75" hidden="false" customHeight="true" outlineLevel="0" collapsed="false">
      <c r="B27" s="36" t="s">
        <v>117</v>
      </c>
      <c r="C27" s="36"/>
      <c r="D27" s="36"/>
      <c r="E27" s="36"/>
      <c r="F27" s="36"/>
      <c r="G27" s="36"/>
    </row>
    <row r="28" customFormat="false" ht="33.75" hidden="false" customHeight="true" outlineLevel="0" collapsed="false">
      <c r="B28" s="32" t="n">
        <v>17</v>
      </c>
      <c r="C28" s="33" t="s">
        <v>118</v>
      </c>
      <c r="D28" s="27" t="s">
        <v>119</v>
      </c>
      <c r="E28" s="32" t="s">
        <v>28</v>
      </c>
      <c r="F28" s="27" t="s">
        <v>120</v>
      </c>
      <c r="G28" s="27" t="s">
        <v>121</v>
      </c>
    </row>
    <row r="29" customFormat="false" ht="33.75" hidden="false" customHeight="true" outlineLevel="0" collapsed="false">
      <c r="B29" s="32" t="n">
        <v>18</v>
      </c>
      <c r="C29" s="33" t="s">
        <v>122</v>
      </c>
      <c r="D29" s="27" t="s">
        <v>123</v>
      </c>
      <c r="E29" s="32" t="s">
        <v>28</v>
      </c>
      <c r="F29" s="27" t="s">
        <v>262</v>
      </c>
      <c r="G29" s="27" t="s">
        <v>263</v>
      </c>
    </row>
    <row r="30" customFormat="false" ht="33.75" hidden="false" customHeight="true" outlineLevel="0" collapsed="false">
      <c r="B30" s="32" t="n">
        <v>19</v>
      </c>
      <c r="C30" s="33" t="s">
        <v>124</v>
      </c>
      <c r="D30" s="27" t="s">
        <v>125</v>
      </c>
      <c r="E30" s="32" t="s">
        <v>28</v>
      </c>
      <c r="F30" s="27" t="s">
        <v>264</v>
      </c>
      <c r="G30" s="27" t="s">
        <v>265</v>
      </c>
    </row>
    <row r="31" customFormat="false" ht="33.75" hidden="false" customHeight="true" outlineLevel="0" collapsed="false">
      <c r="B31" s="32" t="n">
        <v>20</v>
      </c>
      <c r="C31" s="33" t="s">
        <v>126</v>
      </c>
      <c r="D31" s="27" t="s">
        <v>127</v>
      </c>
      <c r="E31" s="32" t="s">
        <v>24</v>
      </c>
      <c r="F31" s="27"/>
      <c r="G31" s="27"/>
    </row>
    <row r="32" customFormat="false" ht="33.75" hidden="false" customHeight="true" outlineLevel="0" collapsed="false">
      <c r="B32" s="32" t="n">
        <v>21</v>
      </c>
      <c r="C32" s="33" t="s">
        <v>128</v>
      </c>
      <c r="D32" s="27" t="s">
        <v>129</v>
      </c>
      <c r="E32" s="32" t="s">
        <v>28</v>
      </c>
      <c r="F32" s="27" t="s">
        <v>130</v>
      </c>
      <c r="G32" s="27" t="s">
        <v>131</v>
      </c>
    </row>
    <row r="33" customFormat="false" ht="33.75" hidden="false" customHeight="true" outlineLevel="0" collapsed="false">
      <c r="B33" s="32" t="n">
        <v>22</v>
      </c>
      <c r="C33" s="33" t="s">
        <v>132</v>
      </c>
      <c r="D33" s="27" t="s">
        <v>133</v>
      </c>
      <c r="E33" s="32" t="s">
        <v>24</v>
      </c>
      <c r="F33" s="27"/>
      <c r="G33" s="27"/>
    </row>
    <row r="35" customFormat="false" ht="15" hidden="false" customHeight="true" outlineLevel="0" collapsed="false">
      <c r="B35" s="28" t="s">
        <v>134</v>
      </c>
      <c r="C35" s="28"/>
      <c r="D35" s="37" t="n">
        <f aca="false">COUNTIF(E8:E33,"✗ No cumple")</f>
        <v>0</v>
      </c>
    </row>
    <row r="36" customFormat="false" ht="15" hidden="false" customHeight="true" outlineLevel="0" collapsed="false">
      <c r="B36" s="28" t="s">
        <v>135</v>
      </c>
      <c r="C36" s="28"/>
      <c r="D36" s="38" t="n">
        <f aca="false">COUNTIF(E8:E33,"⚠ Revisar")</f>
        <v>5</v>
      </c>
    </row>
    <row r="37" customFormat="false" ht="24" hidden="false" customHeight="true" outlineLevel="0" collapsed="false">
      <c r="B37" s="39" t="s">
        <v>136</v>
      </c>
      <c r="C37" s="39"/>
      <c r="D37" s="40" t="str">
        <f aca="false">IF(D35&gt;0,"RECHAZADA - corregir ambigüedades críticas",IF(D36&gt;0,"APROBADA CON OBSERVACIONES - aclarar pendientes","APROBADA - lista para BDD"))</f>
        <v>APROBADA CON OBSERVACIONES - aclarar pendientes</v>
      </c>
      <c r="E37" s="40"/>
      <c r="F37" s="40"/>
      <c r="G37" s="40"/>
    </row>
  </sheetData>
  <mergeCells count="13">
    <mergeCell ref="B2:G2"/>
    <mergeCell ref="B3:C3"/>
    <mergeCell ref="E3:F3"/>
    <mergeCell ref="B4:G4"/>
    <mergeCell ref="B5:G5"/>
    <mergeCell ref="B8:G8"/>
    <mergeCell ref="B14:G14"/>
    <mergeCell ref="B21:G21"/>
    <mergeCell ref="B27:G27"/>
    <mergeCell ref="B35:C35"/>
    <mergeCell ref="B36:C36"/>
    <mergeCell ref="B37:C37"/>
    <mergeCell ref="D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8"/>
    <col collapsed="false" customWidth="true" hidden="false" outlineLevel="0" max="9" min="9" style="0" width="30"/>
  </cols>
  <sheetData>
    <row r="2" customFormat="false" ht="33.75" hidden="false" customHeight="true" outlineLevel="0" collapsed="false">
      <c r="B2" s="14" t="s">
        <v>266</v>
      </c>
      <c r="C2" s="14"/>
      <c r="D2" s="14"/>
      <c r="E2" s="14"/>
      <c r="F2" s="14"/>
      <c r="G2" s="14"/>
      <c r="H2" s="14"/>
      <c r="I2" s="14"/>
    </row>
    <row r="4" customFormat="false" ht="15.75" hidden="false" customHeight="true" outlineLevel="0" collapsed="false">
      <c r="B4" s="5" t="s">
        <v>267</v>
      </c>
    </row>
    <row r="5" customFormat="false" ht="19.5" hidden="false" customHeight="true" outlineLevel="0" collapsed="false">
      <c r="B5" s="41" t="s">
        <v>268</v>
      </c>
      <c r="C5" s="41"/>
      <c r="D5" s="42" t="s">
        <v>269</v>
      </c>
      <c r="E5" s="42"/>
      <c r="F5" s="43" t="s">
        <v>270</v>
      </c>
      <c r="G5" s="43"/>
      <c r="H5" s="44" t="s">
        <v>271</v>
      </c>
      <c r="I5" s="44"/>
    </row>
    <row r="6" customFormat="false" ht="39.75" hidden="false" customHeight="true" outlineLevel="0" collapsed="false">
      <c r="B6" s="45" t="n">
        <f aca="false">COUNTA(C12:C41)</f>
        <v>25</v>
      </c>
      <c r="C6" s="45"/>
      <c r="D6" s="46" t="n">
        <f aca="false">COUNTIF(H12:H41,"Aprobada")</f>
        <v>0</v>
      </c>
      <c r="E6" s="46"/>
      <c r="F6" s="47" t="n">
        <f aca="false">COUNTIF(H12:H41,"Aprobada con observaciones")</f>
        <v>24</v>
      </c>
      <c r="G6" s="47"/>
      <c r="H6" s="48" t="n">
        <f aca="false">COUNTIF(H12:H41,"Rechazada")</f>
        <v>1</v>
      </c>
      <c r="I6" s="48"/>
    </row>
    <row r="8" customFormat="false" ht="15" hidden="false" customHeight="true" outlineLevel="0" collapsed="false">
      <c r="B8" s="49" t="s">
        <v>272</v>
      </c>
      <c r="E8" s="50" t="n">
        <f aca="false">IF(B6=0,0,D6/B6)</f>
        <v>0</v>
      </c>
    </row>
    <row r="9" customFormat="false" ht="15" hidden="false" customHeight="false" outlineLevel="0" collapsed="false">
      <c r="I9" s="0" t="s">
        <v>273</v>
      </c>
    </row>
    <row r="11" customFormat="false" ht="30" hidden="false" customHeight="true" outlineLevel="0" collapsed="false">
      <c r="B11" s="22" t="s">
        <v>274</v>
      </c>
      <c r="C11" s="22" t="s">
        <v>275</v>
      </c>
      <c r="D11" s="22" t="s">
        <v>276</v>
      </c>
      <c r="E11" s="22" t="s">
        <v>277</v>
      </c>
      <c r="F11" s="22" t="s">
        <v>278</v>
      </c>
      <c r="G11" s="22" t="s">
        <v>279</v>
      </c>
      <c r="H11" s="22" t="s">
        <v>280</v>
      </c>
      <c r="I11" s="22" t="s">
        <v>281</v>
      </c>
    </row>
    <row r="12" customFormat="false" ht="30" hidden="false" customHeight="true" outlineLevel="0" collapsed="false">
      <c r="B12" s="32" t="s">
        <v>68</v>
      </c>
      <c r="C12" s="27" t="s">
        <v>71</v>
      </c>
      <c r="D12" s="32" t="s">
        <v>282</v>
      </c>
      <c r="E12" s="32" t="n">
        <f aca="false">'CHK-US-001'!D35</f>
        <v>0</v>
      </c>
      <c r="F12" s="32" t="s">
        <v>283</v>
      </c>
      <c r="G12" s="32" t="n">
        <v>3</v>
      </c>
      <c r="H12" s="32" t="str">
        <f aca="false">IF('CHK-US-001'!D35&gt;0,"Rechazada",IF('CHK-US-001'!D36&gt;0,"Aprobada con observaciones","Aprobada"))</f>
        <v>Aprobada con observaciones</v>
      </c>
      <c r="I12" s="27" t="s">
        <v>284</v>
      </c>
    </row>
    <row r="13" customFormat="false" ht="30" hidden="false" customHeight="true" outlineLevel="0" collapsed="false">
      <c r="B13" s="32" t="s">
        <v>137</v>
      </c>
      <c r="C13" s="27" t="s">
        <v>138</v>
      </c>
      <c r="D13" s="32" t="s">
        <v>285</v>
      </c>
      <c r="E13" s="32" t="n">
        <f aca="false">'CHK-US-002'!D35</f>
        <v>0</v>
      </c>
      <c r="F13" s="32" t="s">
        <v>283</v>
      </c>
      <c r="G13" s="32" t="n">
        <v>3</v>
      </c>
      <c r="H13" s="32" t="str">
        <f aca="false">IF('CHK-US-002'!D35&gt;0,"Rechazada",IF('CHK-US-002'!D36&gt;0,"Aprobada con observaciones","Aprobada"))</f>
        <v>Aprobada con observaciones</v>
      </c>
      <c r="I13" s="27" t="s">
        <v>286</v>
      </c>
    </row>
    <row r="14" customFormat="false" ht="30" hidden="false" customHeight="true" outlineLevel="0" collapsed="false">
      <c r="B14" s="32" t="s">
        <v>145</v>
      </c>
      <c r="C14" s="27" t="s">
        <v>146</v>
      </c>
      <c r="D14" s="32" t="s">
        <v>285</v>
      </c>
      <c r="E14" s="32" t="n">
        <f aca="false">'CHK-US-003'!D35</f>
        <v>0</v>
      </c>
      <c r="F14" s="32" t="s">
        <v>283</v>
      </c>
      <c r="G14" s="32" t="n">
        <v>3</v>
      </c>
      <c r="H14" s="32" t="str">
        <f aca="false">IF('CHK-US-003'!D35&gt;0,"Rechazada",IF('CHK-US-003'!D36&gt;0,"Aprobada con observaciones","Aprobada"))</f>
        <v>Aprobada con observaciones</v>
      </c>
      <c r="I14" s="27" t="s">
        <v>287</v>
      </c>
    </row>
    <row r="15" customFormat="false" ht="30" hidden="false" customHeight="true" outlineLevel="0" collapsed="false">
      <c r="B15" s="32" t="s">
        <v>149</v>
      </c>
      <c r="C15" s="27" t="s">
        <v>150</v>
      </c>
      <c r="D15" s="32" t="s">
        <v>282</v>
      </c>
      <c r="E15" s="32" t="n">
        <f aca="false">'CHK-US-004'!D35</f>
        <v>0</v>
      </c>
      <c r="F15" s="32" t="s">
        <v>283</v>
      </c>
      <c r="G15" s="32" t="n">
        <v>3</v>
      </c>
      <c r="H15" s="32" t="str">
        <f aca="false">IF('CHK-US-004'!D35&gt;0,"Rechazada",IF('CHK-US-004'!D36&gt;0,"Aprobada con observaciones","Aprobada"))</f>
        <v>Aprobada con observaciones</v>
      </c>
      <c r="I15" s="27" t="s">
        <v>288</v>
      </c>
    </row>
    <row r="16" customFormat="false" ht="30" hidden="false" customHeight="true" outlineLevel="0" collapsed="false">
      <c r="B16" s="32" t="s">
        <v>159</v>
      </c>
      <c r="C16" s="27" t="s">
        <v>160</v>
      </c>
      <c r="D16" s="32" t="s">
        <v>282</v>
      </c>
      <c r="E16" s="32" t="n">
        <f aca="false">'CHK-US-005'!D35</f>
        <v>0</v>
      </c>
      <c r="F16" s="32" t="s">
        <v>283</v>
      </c>
      <c r="G16" s="32" t="n">
        <v>3</v>
      </c>
      <c r="H16" s="32" t="str">
        <f aca="false">IF('CHK-US-005'!D35&gt;0,"Rechazada",IF('CHK-US-005'!D36&gt;0,"Aprobada con observaciones","Aprobada"))</f>
        <v>Aprobada con observaciones</v>
      </c>
      <c r="I16" s="27" t="s">
        <v>289</v>
      </c>
    </row>
    <row r="17" customFormat="false" ht="30" hidden="false" customHeight="true" outlineLevel="0" collapsed="false">
      <c r="B17" s="32" t="s">
        <v>161</v>
      </c>
      <c r="C17" s="27" t="s">
        <v>162</v>
      </c>
      <c r="D17" s="32" t="s">
        <v>285</v>
      </c>
      <c r="E17" s="32" t="n">
        <f aca="false">'CHK-US-006'!D35</f>
        <v>0</v>
      </c>
      <c r="F17" s="32" t="s">
        <v>283</v>
      </c>
      <c r="G17" s="32" t="n">
        <v>3</v>
      </c>
      <c r="H17" s="32" t="str">
        <f aca="false">IF('CHK-US-006'!D35&gt;0,"Rechazada",IF('CHK-US-006'!D36&gt;0,"Aprobada con observaciones","Aprobada"))</f>
        <v>Aprobada con observaciones</v>
      </c>
      <c r="I17" s="27" t="s">
        <v>290</v>
      </c>
    </row>
    <row r="18" customFormat="false" ht="30" hidden="false" customHeight="true" outlineLevel="0" collapsed="false">
      <c r="B18" s="32" t="s">
        <v>163</v>
      </c>
      <c r="C18" s="27" t="s">
        <v>164</v>
      </c>
      <c r="D18" s="32" t="s">
        <v>282</v>
      </c>
      <c r="E18" s="32" t="n">
        <f aca="false">'CHK-US-007'!D35</f>
        <v>0</v>
      </c>
      <c r="F18" s="32" t="s">
        <v>283</v>
      </c>
      <c r="G18" s="32" t="n">
        <v>3</v>
      </c>
      <c r="H18" s="32" t="str">
        <f aca="false">IF('CHK-US-007'!D35&gt;0,"Rechazada",IF('CHK-US-007'!D36&gt;0,"Aprobada con observaciones","Aprobada"))</f>
        <v>Aprobada con observaciones</v>
      </c>
      <c r="I18" s="27" t="s">
        <v>291</v>
      </c>
    </row>
    <row r="19" customFormat="false" ht="30" hidden="false" customHeight="true" outlineLevel="0" collapsed="false">
      <c r="B19" s="32" t="s">
        <v>173</v>
      </c>
      <c r="C19" s="27" t="s">
        <v>174</v>
      </c>
      <c r="D19" s="32" t="s">
        <v>282</v>
      </c>
      <c r="E19" s="32" t="n">
        <f aca="false">'CHK-US-008'!D35</f>
        <v>0</v>
      </c>
      <c r="F19" s="32" t="s">
        <v>283</v>
      </c>
      <c r="G19" s="32" t="n">
        <v>3</v>
      </c>
      <c r="H19" s="32" t="str">
        <f aca="false">IF('CHK-US-008'!D35&gt;0,"Rechazada",IF('CHK-US-008'!D36&gt;0,"Aprobada con observaciones","Aprobada"))</f>
        <v>Aprobada con observaciones</v>
      </c>
      <c r="I19" s="27" t="s">
        <v>292</v>
      </c>
    </row>
    <row r="20" customFormat="false" ht="30" hidden="false" customHeight="true" outlineLevel="0" collapsed="false">
      <c r="B20" s="32" t="s">
        <v>177</v>
      </c>
      <c r="C20" s="27" t="s">
        <v>178</v>
      </c>
      <c r="D20" s="32" t="s">
        <v>285</v>
      </c>
      <c r="E20" s="32" t="n">
        <f aca="false">'CHK-US-009'!D35</f>
        <v>0</v>
      </c>
      <c r="F20" s="32" t="s">
        <v>283</v>
      </c>
      <c r="G20" s="32" t="n">
        <v>4</v>
      </c>
      <c r="H20" s="32" t="str">
        <f aca="false">IF('CHK-US-009'!D35&gt;0,"Rechazada",IF('CHK-US-009'!D36&gt;0,"Aprobada con observaciones","Aprobada"))</f>
        <v>Aprobada con observaciones</v>
      </c>
      <c r="I20" s="27" t="s">
        <v>293</v>
      </c>
    </row>
    <row r="21" customFormat="false" ht="30" hidden="false" customHeight="true" outlineLevel="0" collapsed="false">
      <c r="B21" s="32" t="s">
        <v>181</v>
      </c>
      <c r="C21" s="27" t="s">
        <v>182</v>
      </c>
      <c r="D21" s="32" t="s">
        <v>282</v>
      </c>
      <c r="E21" s="32" t="n">
        <f aca="false">'CHK-US-010'!D35</f>
        <v>0</v>
      </c>
      <c r="F21" s="32" t="s">
        <v>283</v>
      </c>
      <c r="G21" s="32" t="n">
        <v>3</v>
      </c>
      <c r="H21" s="32" t="str">
        <f aca="false">IF('CHK-US-010'!D35&gt;0,"Rechazada",IF('CHK-US-010'!D36&gt;0,"Aprobada con observaciones","Aprobada"))</f>
        <v>Aprobada con observaciones</v>
      </c>
      <c r="I21" s="27" t="s">
        <v>294</v>
      </c>
    </row>
    <row r="22" customFormat="false" ht="30" hidden="false" customHeight="true" outlineLevel="0" collapsed="false">
      <c r="B22" s="32" t="s">
        <v>183</v>
      </c>
      <c r="C22" s="27" t="s">
        <v>184</v>
      </c>
      <c r="D22" s="32" t="s">
        <v>285</v>
      </c>
      <c r="E22" s="32" t="n">
        <f aca="false">'CHK-US-011'!D35</f>
        <v>0</v>
      </c>
      <c r="F22" s="32" t="s">
        <v>283</v>
      </c>
      <c r="G22" s="32" t="n">
        <v>3</v>
      </c>
      <c r="H22" s="32" t="str">
        <f aca="false">IF('CHK-US-011'!D35&gt;0,"Rechazada",IF('CHK-US-011'!D36&gt;0,"Aprobada con observaciones","Aprobada"))</f>
        <v>Aprobada con observaciones</v>
      </c>
      <c r="I22" s="27" t="s">
        <v>295</v>
      </c>
    </row>
    <row r="23" customFormat="false" ht="30" hidden="false" customHeight="true" outlineLevel="0" collapsed="false">
      <c r="B23" s="32" t="s">
        <v>189</v>
      </c>
      <c r="C23" s="27" t="s">
        <v>190</v>
      </c>
      <c r="D23" s="32" t="s">
        <v>282</v>
      </c>
      <c r="E23" s="32" t="n">
        <f aca="false">'CHK-US-012'!D35</f>
        <v>0</v>
      </c>
      <c r="F23" s="32" t="s">
        <v>283</v>
      </c>
      <c r="G23" s="32" t="n">
        <v>3</v>
      </c>
      <c r="H23" s="32" t="str">
        <f aca="false">IF('CHK-US-012'!D35&gt;0,"Rechazada",IF('CHK-US-012'!D36&gt;0,"Aprobada con observaciones","Aprobada"))</f>
        <v>Aprobada con observaciones</v>
      </c>
      <c r="I23" s="27" t="s">
        <v>296</v>
      </c>
    </row>
    <row r="24" customFormat="false" ht="30" hidden="false" customHeight="true" outlineLevel="0" collapsed="false">
      <c r="B24" s="32" t="s">
        <v>193</v>
      </c>
      <c r="C24" s="27" t="s">
        <v>194</v>
      </c>
      <c r="D24" s="32" t="s">
        <v>285</v>
      </c>
      <c r="E24" s="32" t="n">
        <f aca="false">'CHK-US-013'!D35</f>
        <v>0</v>
      </c>
      <c r="F24" s="32" t="s">
        <v>283</v>
      </c>
      <c r="G24" s="32" t="n">
        <v>3</v>
      </c>
      <c r="H24" s="32" t="str">
        <f aca="false">IF('CHK-US-013'!D35&gt;0,"Rechazada",IF('CHK-US-013'!D36&gt;0,"Aprobada con observaciones","Aprobada"))</f>
        <v>Aprobada con observaciones</v>
      </c>
      <c r="I24" s="27" t="s">
        <v>297</v>
      </c>
    </row>
    <row r="25" customFormat="false" ht="30" hidden="false" customHeight="true" outlineLevel="0" collapsed="false">
      <c r="B25" s="32" t="s">
        <v>197</v>
      </c>
      <c r="C25" s="27" t="s">
        <v>198</v>
      </c>
      <c r="D25" s="32" t="s">
        <v>285</v>
      </c>
      <c r="E25" s="32" t="n">
        <f aca="false">'CHK-US-014'!D35</f>
        <v>1</v>
      </c>
      <c r="F25" s="32" t="s">
        <v>283</v>
      </c>
      <c r="G25" s="32" t="n">
        <v>3</v>
      </c>
      <c r="H25" s="32" t="str">
        <f aca="false">IF('CHK-US-014'!D35&gt;0,"Rechazada",IF('CHK-US-014'!D36&gt;0,"Aprobada con observaciones","Aprobada"))</f>
        <v>Rechazada</v>
      </c>
      <c r="I25" s="27" t="s">
        <v>298</v>
      </c>
    </row>
    <row r="26" customFormat="false" ht="30" hidden="false" customHeight="true" outlineLevel="0" collapsed="false">
      <c r="B26" s="32" t="s">
        <v>203</v>
      </c>
      <c r="C26" s="27" t="s">
        <v>204</v>
      </c>
      <c r="D26" s="32" t="s">
        <v>285</v>
      </c>
      <c r="E26" s="32" t="n">
        <f aca="false">'CHK-US-015'!D35</f>
        <v>0</v>
      </c>
      <c r="F26" s="32" t="s">
        <v>283</v>
      </c>
      <c r="G26" s="32" t="n">
        <v>3</v>
      </c>
      <c r="H26" s="32" t="str">
        <f aca="false">IF('CHK-US-015'!D35&gt;0,"Rechazada",IF('CHK-US-015'!D36&gt;0,"Aprobada con observaciones","Aprobada"))</f>
        <v>Aprobada con observaciones</v>
      </c>
      <c r="I26" s="27" t="s">
        <v>299</v>
      </c>
    </row>
    <row r="27" customFormat="false" ht="30" hidden="false" customHeight="true" outlineLevel="0" collapsed="false">
      <c r="B27" s="32" t="s">
        <v>207</v>
      </c>
      <c r="C27" s="27" t="s">
        <v>208</v>
      </c>
      <c r="D27" s="32" t="s">
        <v>285</v>
      </c>
      <c r="E27" s="32" t="n">
        <f aca="false">'CHK-US-016'!D35</f>
        <v>0</v>
      </c>
      <c r="F27" s="32" t="s">
        <v>283</v>
      </c>
      <c r="G27" s="32" t="n">
        <v>3</v>
      </c>
      <c r="H27" s="32" t="str">
        <f aca="false">IF('CHK-US-016'!D35&gt;0,"Rechazada",IF('CHK-US-016'!D36&gt;0,"Aprobada con observaciones","Aprobada"))</f>
        <v>Aprobada con observaciones</v>
      </c>
      <c r="I27" s="27" t="s">
        <v>300</v>
      </c>
    </row>
    <row r="28" customFormat="false" ht="30" hidden="false" customHeight="true" outlineLevel="0" collapsed="false">
      <c r="B28" s="32" t="s">
        <v>213</v>
      </c>
      <c r="C28" s="27" t="s">
        <v>301</v>
      </c>
      <c r="D28" s="32" t="s">
        <v>282</v>
      </c>
      <c r="E28" s="32" t="n">
        <f aca="false">'CHK-US-018'!D35</f>
        <v>0</v>
      </c>
      <c r="F28" s="32" t="s">
        <v>283</v>
      </c>
      <c r="G28" s="32" t="n">
        <v>3</v>
      </c>
      <c r="H28" s="32" t="str">
        <f aca="false">IF('CHK-US-018'!D35&gt;0,"Rechazada",IF('CHK-US-018'!D36&gt;0,"Aprobada con observaciones","Aprobada"))</f>
        <v>Aprobada con observaciones</v>
      </c>
      <c r="I28" s="27" t="s">
        <v>302</v>
      </c>
    </row>
    <row r="29" customFormat="false" ht="30" hidden="false" customHeight="true" outlineLevel="0" collapsed="false">
      <c r="B29" s="32" t="s">
        <v>217</v>
      </c>
      <c r="C29" s="27" t="s">
        <v>218</v>
      </c>
      <c r="D29" s="32" t="s">
        <v>285</v>
      </c>
      <c r="E29" s="32" t="n">
        <f aca="false">'CHK-US-020'!D35</f>
        <v>0</v>
      </c>
      <c r="F29" s="32" t="s">
        <v>283</v>
      </c>
      <c r="G29" s="32" t="n">
        <v>3</v>
      </c>
      <c r="H29" s="32" t="str">
        <f aca="false">IF('CHK-US-020'!D35&gt;0,"Rechazada",IF('CHK-US-020'!D36&gt;0,"Aprobada con observaciones","Aprobada"))</f>
        <v>Aprobada con observaciones</v>
      </c>
      <c r="I29" s="27" t="s">
        <v>303</v>
      </c>
    </row>
    <row r="30" customFormat="false" ht="30" hidden="false" customHeight="true" outlineLevel="0" collapsed="false">
      <c r="B30" s="32" t="s">
        <v>220</v>
      </c>
      <c r="C30" s="27" t="s">
        <v>221</v>
      </c>
      <c r="D30" s="32" t="s">
        <v>285</v>
      </c>
      <c r="E30" s="32" t="n">
        <f aca="false">'CHK-US-021'!D35</f>
        <v>0</v>
      </c>
      <c r="F30" s="32" t="s">
        <v>283</v>
      </c>
      <c r="G30" s="32" t="n">
        <v>2</v>
      </c>
      <c r="H30" s="32" t="str">
        <f aca="false">IF('CHK-US-021'!D35&gt;0,"Rechazada",IF('CHK-US-021'!D36&gt;0,"Aprobada con observaciones","Aprobada"))</f>
        <v>Aprobada con observaciones</v>
      </c>
      <c r="I30" s="27" t="s">
        <v>304</v>
      </c>
    </row>
    <row r="31" customFormat="false" ht="30" hidden="false" customHeight="true" outlineLevel="0" collapsed="false">
      <c r="B31" s="32" t="s">
        <v>225</v>
      </c>
      <c r="C31" s="27" t="s">
        <v>226</v>
      </c>
      <c r="D31" s="32" t="s">
        <v>282</v>
      </c>
      <c r="E31" s="32" t="n">
        <f aca="false">'CHK-US-022'!D35</f>
        <v>0</v>
      </c>
      <c r="F31" s="32" t="s">
        <v>283</v>
      </c>
      <c r="G31" s="32" t="n">
        <v>3</v>
      </c>
      <c r="H31" s="32" t="str">
        <f aca="false">IF('CHK-US-022'!D35&gt;0,"Rechazada",IF('CHK-US-022'!D36&gt;0,"Aprobada con observaciones","Aprobada"))</f>
        <v>Aprobada con observaciones</v>
      </c>
      <c r="I31" s="27" t="s">
        <v>305</v>
      </c>
    </row>
    <row r="32" customFormat="false" ht="30" hidden="false" customHeight="true" outlineLevel="0" collapsed="false">
      <c r="B32" s="32" t="s">
        <v>233</v>
      </c>
      <c r="C32" s="27" t="s">
        <v>234</v>
      </c>
      <c r="D32" s="32" t="s">
        <v>285</v>
      </c>
      <c r="E32" s="32" t="n">
        <f aca="false">'CHK-US-023'!D35</f>
        <v>0</v>
      </c>
      <c r="F32" s="32" t="s">
        <v>283</v>
      </c>
      <c r="G32" s="32" t="n">
        <v>2</v>
      </c>
      <c r="H32" s="32" t="str">
        <f aca="false">IF('CHK-US-023'!D35&gt;0,"Rechazada",IF('CHK-US-023'!D36&gt;0,"Aprobada con observaciones","Aprobada"))</f>
        <v>Aprobada con observaciones</v>
      </c>
      <c r="I32" s="27" t="s">
        <v>306</v>
      </c>
    </row>
    <row r="33" customFormat="false" ht="30" hidden="false" customHeight="true" outlineLevel="0" collapsed="false">
      <c r="B33" s="32" t="s">
        <v>239</v>
      </c>
      <c r="C33" s="27" t="s">
        <v>240</v>
      </c>
      <c r="D33" s="32" t="s">
        <v>282</v>
      </c>
      <c r="E33" s="32" t="n">
        <f aca="false">'CHK-US-024'!D35</f>
        <v>0</v>
      </c>
      <c r="F33" s="32" t="s">
        <v>283</v>
      </c>
      <c r="G33" s="32" t="n">
        <v>2</v>
      </c>
      <c r="H33" s="32" t="str">
        <f aca="false">IF('CHK-US-024'!D35&gt;0,"Rechazada",IF('CHK-US-024'!D36&gt;0,"Aprobada con observaciones","Aprobada"))</f>
        <v>Aprobada con observaciones</v>
      </c>
      <c r="I33" s="27" t="s">
        <v>307</v>
      </c>
    </row>
    <row r="34" customFormat="false" ht="30" hidden="false" customHeight="true" outlineLevel="0" collapsed="false">
      <c r="B34" s="32" t="s">
        <v>243</v>
      </c>
      <c r="C34" s="27" t="s">
        <v>244</v>
      </c>
      <c r="D34" s="32" t="s">
        <v>282</v>
      </c>
      <c r="E34" s="32" t="n">
        <f aca="false">'CHK-US-025'!D35</f>
        <v>0</v>
      </c>
      <c r="F34" s="32" t="s">
        <v>283</v>
      </c>
      <c r="G34" s="32" t="n">
        <v>2</v>
      </c>
      <c r="H34" s="32" t="str">
        <f aca="false">IF('CHK-US-025'!D35&gt;0,"Rechazada",IF('CHK-US-025'!D36&gt;0,"Aprobada con observaciones","Aprobada"))</f>
        <v>Aprobada con observaciones</v>
      </c>
      <c r="I34" s="27" t="s">
        <v>308</v>
      </c>
    </row>
    <row r="35" customFormat="false" ht="30" hidden="false" customHeight="true" outlineLevel="0" collapsed="false">
      <c r="B35" s="32" t="s">
        <v>246</v>
      </c>
      <c r="C35" s="27" t="s">
        <v>247</v>
      </c>
      <c r="D35" s="32" t="s">
        <v>285</v>
      </c>
      <c r="E35" s="32" t="n">
        <f aca="false">'CHK-US-026'!D35</f>
        <v>0</v>
      </c>
      <c r="F35" s="32" t="s">
        <v>283</v>
      </c>
      <c r="G35" s="32" t="n">
        <v>2</v>
      </c>
      <c r="H35" s="32" t="str">
        <f aca="false">IF('CHK-US-026'!D35&gt;0,"Rechazada",IF('CHK-US-026'!D36&gt;0,"Aprobada con observaciones","Aprobada"))</f>
        <v>Aprobada con observaciones</v>
      </c>
      <c r="I35" s="27" t="s">
        <v>309</v>
      </c>
    </row>
    <row r="36" customFormat="false" ht="30" hidden="false" customHeight="true" outlineLevel="0" collapsed="false">
      <c r="B36" s="32" t="s">
        <v>249</v>
      </c>
      <c r="C36" s="27" t="s">
        <v>250</v>
      </c>
      <c r="D36" s="32" t="s">
        <v>282</v>
      </c>
      <c r="E36" s="32" t="n">
        <f aca="false">'CHK-US-027'!D35</f>
        <v>0</v>
      </c>
      <c r="F36" s="32" t="s">
        <v>283</v>
      </c>
      <c r="G36" s="32" t="n">
        <v>2</v>
      </c>
      <c r="H36" s="32" t="str">
        <f aca="false">IF('CHK-US-027'!D35&gt;0,"Rechazada",IF('CHK-US-027'!D36&gt;0,"Aprobada con observaciones","Aprobada"))</f>
        <v>Aprobada con observaciones</v>
      </c>
      <c r="I36" s="27" t="s">
        <v>310</v>
      </c>
    </row>
    <row r="37" customFormat="false" ht="30" hidden="false" customHeight="true" outlineLevel="0" collapsed="false">
      <c r="B37" s="32"/>
      <c r="C37" s="27"/>
      <c r="D37" s="32"/>
      <c r="E37" s="32"/>
      <c r="F37" s="32"/>
      <c r="G37" s="32"/>
      <c r="H37" s="32"/>
      <c r="I37" s="27"/>
    </row>
    <row r="38" customFormat="false" ht="30" hidden="false" customHeight="true" outlineLevel="0" collapsed="false">
      <c r="B38" s="32"/>
      <c r="C38" s="27"/>
      <c r="D38" s="32"/>
      <c r="E38" s="32"/>
      <c r="F38" s="32"/>
      <c r="G38" s="32"/>
      <c r="H38" s="32"/>
      <c r="I38" s="27"/>
    </row>
    <row r="39" customFormat="false" ht="30" hidden="false" customHeight="true" outlineLevel="0" collapsed="false">
      <c r="B39" s="32"/>
      <c r="C39" s="27"/>
      <c r="D39" s="32"/>
      <c r="E39" s="32"/>
      <c r="F39" s="32"/>
      <c r="G39" s="32"/>
      <c r="H39" s="32"/>
      <c r="I39" s="27"/>
    </row>
    <row r="40" customFormat="false" ht="30" hidden="false" customHeight="true" outlineLevel="0" collapsed="false">
      <c r="B40" s="32"/>
      <c r="C40" s="27"/>
      <c r="D40" s="32"/>
      <c r="E40" s="32"/>
      <c r="F40" s="32"/>
      <c r="G40" s="32"/>
      <c r="H40" s="32"/>
      <c r="I40" s="27"/>
    </row>
    <row r="41" customFormat="false" ht="30" hidden="false" customHeight="true" outlineLevel="0" collapsed="false">
      <c r="B41" s="32"/>
      <c r="C41" s="27"/>
      <c r="D41" s="32"/>
      <c r="E41" s="32"/>
      <c r="F41" s="32"/>
      <c r="G41" s="32"/>
      <c r="H41" s="32"/>
      <c r="I41" s="27"/>
    </row>
  </sheetData>
  <autoFilter ref="B11:I41"/>
  <mergeCells count="9">
    <mergeCell ref="B2:I2"/>
    <mergeCell ref="B5:C5"/>
    <mergeCell ref="D5:E5"/>
    <mergeCell ref="F5:G5"/>
    <mergeCell ref="H5:I5"/>
    <mergeCell ref="B6:C6"/>
    <mergeCell ref="D6:E6"/>
    <mergeCell ref="F6:G6"/>
    <mergeCell ref="H6:I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2026-07-06T05:02:00Z</dcterms:created>
  <dc:creator>openpyxl</dc:creator>
  <dc:description/>
  <dc:language>en-US</dc:language>
  <cp:lastModifiedBy/>
  <dcterms:modified xsi:type="dcterms:W3CDTF">2026-07-13T05:10:13Z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